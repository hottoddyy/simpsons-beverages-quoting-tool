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dd.simpson\Downloads\"/>
    </mc:Choice>
  </mc:AlternateContent>
  <xr:revisionPtr revIDLastSave="0" documentId="13_ncr:1_{59BAC7C5-7E06-43CA-9754-182C50ED5467}" xr6:coauthVersionLast="47" xr6:coauthVersionMax="47" xr10:uidLastSave="{00000000-0000-0000-0000-000000000000}"/>
  <bookViews>
    <workbookView xWindow="-120" yWindow="-120" windowWidth="51840" windowHeight="21120" tabRatio="881" xr2:uid="{00000000-000D-0000-FFFF-FFFF00000000}"/>
  </bookViews>
  <sheets>
    <sheet name="TOSCA" sheetId="1" r:id="rId1"/>
    <sheet name="IBC" sheetId="9" r:id="rId2"/>
    <sheet name="220L DRUM" sheetId="10" r:id="rId3"/>
    <sheet name="25L" sheetId="4" r:id="rId4"/>
    <sheet name="2X5L" sheetId="3" r:id="rId5"/>
    <sheet name="4X5L" sheetId="6" r:id="rId6"/>
    <sheet name="10L" sheetId="2" r:id="rId7"/>
    <sheet name="6X1L" sheetId="8" r:id="rId8"/>
    <sheet name="6X2L" sheetId="7" r:id="rId9"/>
    <sheet name="770ML POUCH" sheetId="11" r:id="rId10"/>
    <sheet name="2X2.25L POUCH" sheetId="12" r:id="rId11"/>
    <sheet name="2X600ML POUCH" sheetId="13" r:id="rId12"/>
    <sheet name="12X750ML" sheetId="14" r:id="rId13"/>
    <sheet name="NOTES" sheetId="5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4" l="1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4" i="14"/>
  <c r="C25" i="14"/>
  <c r="C30" i="14"/>
  <c r="C26" i="14"/>
  <c r="C24" i="14"/>
  <c r="C34" i="14" s="1"/>
  <c r="I28" i="13"/>
  <c r="I27" i="13"/>
  <c r="I26" i="13"/>
  <c r="J25" i="13"/>
  <c r="I25" i="13"/>
  <c r="J23" i="13"/>
  <c r="I23" i="13"/>
  <c r="I22" i="13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4" i="12"/>
  <c r="I28" i="12"/>
  <c r="I27" i="12"/>
  <c r="J26" i="12"/>
  <c r="I26" i="12"/>
  <c r="J25" i="12"/>
  <c r="I25" i="12"/>
  <c r="I24" i="12"/>
  <c r="I23" i="12"/>
  <c r="I30" i="12" s="1"/>
  <c r="K4" i="7"/>
  <c r="I4" i="7"/>
  <c r="J4" i="7"/>
  <c r="C27" i="7"/>
  <c r="C26" i="7"/>
  <c r="D25" i="7"/>
  <c r="D24" i="7"/>
  <c r="C24" i="7"/>
  <c r="D23" i="7"/>
  <c r="C23" i="7"/>
  <c r="C22" i="7"/>
  <c r="C28" i="7" s="1"/>
  <c r="C35" i="8"/>
  <c r="C34" i="8"/>
  <c r="C32" i="8"/>
  <c r="D31" i="8"/>
  <c r="C31" i="8"/>
  <c r="D30" i="8"/>
  <c r="C30" i="8" s="1"/>
  <c r="C39" i="8" s="1"/>
  <c r="C29" i="8"/>
  <c r="C37" i="2"/>
  <c r="C36" i="2"/>
  <c r="C35" i="2"/>
  <c r="C34" i="2"/>
  <c r="C33" i="2"/>
  <c r="C32" i="2"/>
  <c r="C31" i="2"/>
  <c r="C28" i="2"/>
  <c r="C26" i="2"/>
  <c r="C24" i="2"/>
  <c r="C29" i="2" s="1"/>
  <c r="C30" i="6"/>
  <c r="C29" i="6"/>
  <c r="C28" i="6"/>
  <c r="C27" i="6"/>
  <c r="D26" i="6"/>
  <c r="C26" i="6"/>
  <c r="D25" i="6"/>
  <c r="C25" i="6"/>
  <c r="C24" i="6"/>
  <c r="C29" i="3"/>
  <c r="D26" i="3"/>
  <c r="C26" i="3"/>
  <c r="D25" i="3"/>
  <c r="C25" i="3" s="1"/>
  <c r="C24" i="3"/>
  <c r="C30" i="3" s="1"/>
  <c r="C28" i="4"/>
  <c r="C27" i="4"/>
  <c r="D25" i="4"/>
  <c r="C25" i="4"/>
  <c r="D24" i="4"/>
  <c r="C24" i="4"/>
  <c r="C23" i="4"/>
  <c r="C29" i="4" s="1"/>
  <c r="L5" i="4" s="1"/>
  <c r="C28" i="10"/>
  <c r="C26" i="10"/>
  <c r="C24" i="10"/>
  <c r="D23" i="10"/>
  <c r="C23" i="10"/>
  <c r="C27" i="9"/>
  <c r="C23" i="9"/>
  <c r="C28" i="1"/>
  <c r="J4" i="6"/>
  <c r="J5" i="6"/>
  <c r="J6" i="6"/>
  <c r="J7" i="6"/>
  <c r="J8" i="6"/>
  <c r="J9" i="6"/>
  <c r="J10" i="6"/>
  <c r="J4" i="3"/>
  <c r="J5" i="3"/>
  <c r="J6" i="3"/>
  <c r="J7" i="3"/>
  <c r="J8" i="3"/>
  <c r="J9" i="3"/>
  <c r="J10" i="3"/>
  <c r="J11" i="3"/>
  <c r="J12" i="3"/>
  <c r="J13" i="3"/>
  <c r="L8" i="1"/>
  <c r="K8" i="1" s="1"/>
  <c r="J8" i="1" s="1"/>
  <c r="I8" i="1" s="1"/>
  <c r="L10" i="1"/>
  <c r="K10" i="1" s="1"/>
  <c r="J10" i="1" s="1"/>
  <c r="I10" i="1" s="1"/>
  <c r="L6" i="1"/>
  <c r="K6" i="1" s="1"/>
  <c r="J6" i="1" s="1"/>
  <c r="I6" i="1" s="1"/>
  <c r="E4" i="8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I19" i="14" l="1"/>
  <c r="H19" i="14" s="1"/>
  <c r="I8" i="14"/>
  <c r="H8" i="14" s="1"/>
  <c r="I6" i="14"/>
  <c r="H6" i="14" s="1"/>
  <c r="I20" i="14"/>
  <c r="H20" i="14" s="1"/>
  <c r="I10" i="14"/>
  <c r="H10" i="14" s="1"/>
  <c r="I15" i="14"/>
  <c r="H15" i="14" s="1"/>
  <c r="I9" i="14"/>
  <c r="H9" i="14" s="1"/>
  <c r="I13" i="14"/>
  <c r="H13" i="14" s="1"/>
  <c r="I16" i="14"/>
  <c r="H16" i="14" s="1"/>
  <c r="I4" i="14"/>
  <c r="H4" i="14" s="1"/>
  <c r="I14" i="14"/>
  <c r="H14" i="14" s="1"/>
  <c r="I18" i="14"/>
  <c r="H18" i="14" s="1"/>
  <c r="I7" i="14"/>
  <c r="H7" i="14" s="1"/>
  <c r="I11" i="14"/>
  <c r="H11" i="14" s="1"/>
  <c r="I5" i="14"/>
  <c r="H5" i="14" s="1"/>
  <c r="I12" i="14"/>
  <c r="H12" i="14" s="1"/>
  <c r="I17" i="14"/>
  <c r="H17" i="14" s="1"/>
  <c r="L4" i="4"/>
  <c r="L20" i="4"/>
  <c r="L11" i="4"/>
  <c r="L18" i="4"/>
  <c r="L16" i="4"/>
  <c r="L14" i="4"/>
  <c r="L13" i="4"/>
  <c r="L12" i="4"/>
  <c r="L10" i="4"/>
  <c r="L9" i="4"/>
  <c r="L8" i="4"/>
  <c r="L7" i="4"/>
  <c r="L19" i="4"/>
  <c r="L17" i="4"/>
  <c r="L15" i="4"/>
  <c r="L6" i="4"/>
  <c r="L9" i="1"/>
  <c r="K9" i="1" s="1"/>
  <c r="J9" i="1" s="1"/>
  <c r="I9" i="1" s="1"/>
  <c r="L4" i="1"/>
  <c r="K4" i="1" s="1"/>
  <c r="J4" i="1" s="1"/>
  <c r="I4" i="1" s="1"/>
  <c r="L5" i="1"/>
  <c r="K5" i="1" s="1"/>
  <c r="J5" i="1" s="1"/>
  <c r="I5" i="1" s="1"/>
  <c r="L7" i="1"/>
  <c r="K7" i="1" s="1"/>
  <c r="J7" i="1" s="1"/>
  <c r="I7" i="1" s="1"/>
  <c r="N15" i="12"/>
  <c r="M15" i="12" s="1"/>
  <c r="N14" i="12"/>
  <c r="M14" i="12" s="1"/>
  <c r="N10" i="12"/>
  <c r="M10" i="12" s="1"/>
  <c r="N5" i="12"/>
  <c r="M5" i="12" s="1"/>
  <c r="N13" i="12"/>
  <c r="M13" i="12" s="1"/>
  <c r="N12" i="12"/>
  <c r="M12" i="12" s="1"/>
  <c r="N11" i="12"/>
  <c r="M11" i="12" s="1"/>
  <c r="N20" i="12"/>
  <c r="M20" i="12" s="1"/>
  <c r="N9" i="12"/>
  <c r="M9" i="12" s="1"/>
  <c r="N19" i="12"/>
  <c r="M19" i="12" s="1"/>
  <c r="N8" i="12"/>
  <c r="M8" i="12" s="1"/>
  <c r="N18" i="12"/>
  <c r="M18" i="12" s="1"/>
  <c r="N7" i="12"/>
  <c r="M7" i="12" s="1"/>
  <c r="N17" i="12"/>
  <c r="M17" i="12" s="1"/>
  <c r="N6" i="12"/>
  <c r="M6" i="12" s="1"/>
  <c r="N16" i="12"/>
  <c r="M16" i="12" s="1"/>
  <c r="O5" i="13" l="1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C26" i="11"/>
  <c r="C27" i="11"/>
  <c r="O4" i="13"/>
  <c r="E4" i="13" s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4" i="2"/>
  <c r="O4" i="12"/>
  <c r="J11" i="6"/>
  <c r="J12" i="6"/>
  <c r="J13" i="6"/>
  <c r="J14" i="6"/>
  <c r="J15" i="6"/>
  <c r="J16" i="6"/>
  <c r="J17" i="6"/>
  <c r="J18" i="6"/>
  <c r="J19" i="6"/>
  <c r="J20" i="6"/>
  <c r="J5" i="11" l="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J4" i="11"/>
  <c r="C23" i="11"/>
  <c r="C29" i="11"/>
  <c r="K4" i="11" l="1"/>
  <c r="E5" i="8" l="1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4" i="8"/>
  <c r="J22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14" i="3"/>
  <c r="J15" i="3"/>
  <c r="J16" i="3"/>
  <c r="J17" i="3"/>
  <c r="J18" i="3"/>
  <c r="J19" i="3"/>
  <c r="J20" i="3"/>
  <c r="L20" i="9" l="1"/>
  <c r="K20" i="9" s="1"/>
  <c r="J20" i="9" s="1"/>
  <c r="I20" i="9" s="1"/>
  <c r="L7" i="9"/>
  <c r="K7" i="9" s="1"/>
  <c r="J7" i="9" s="1"/>
  <c r="I7" i="9" s="1"/>
  <c r="L8" i="9"/>
  <c r="K8" i="9" s="1"/>
  <c r="J8" i="9" s="1"/>
  <c r="I8" i="9" s="1"/>
  <c r="L18" i="9"/>
  <c r="K18" i="9" s="1"/>
  <c r="J18" i="9" s="1"/>
  <c r="I18" i="9" s="1"/>
  <c r="L5" i="9"/>
  <c r="K5" i="9" s="1"/>
  <c r="J5" i="9" s="1"/>
  <c r="I5" i="9" s="1"/>
  <c r="L9" i="9"/>
  <c r="K9" i="9" s="1"/>
  <c r="J9" i="9" s="1"/>
  <c r="I9" i="9" s="1"/>
  <c r="L10" i="9"/>
  <c r="K10" i="9" s="1"/>
  <c r="J10" i="9" s="1"/>
  <c r="I10" i="9" s="1"/>
  <c r="L14" i="9"/>
  <c r="K14" i="9" s="1"/>
  <c r="J14" i="9" s="1"/>
  <c r="I14" i="9" s="1"/>
  <c r="L19" i="9"/>
  <c r="K19" i="9" s="1"/>
  <c r="J19" i="9" s="1"/>
  <c r="I19" i="9" s="1"/>
  <c r="L4" i="9"/>
  <c r="K4" i="9" s="1"/>
  <c r="J4" i="9" s="1"/>
  <c r="I4" i="9" s="1"/>
  <c r="L11" i="9"/>
  <c r="K11" i="9" s="1"/>
  <c r="J11" i="9" s="1"/>
  <c r="I11" i="9" s="1"/>
  <c r="L12" i="9"/>
  <c r="K12" i="9" s="1"/>
  <c r="J12" i="9" s="1"/>
  <c r="I12" i="9" s="1"/>
  <c r="L13" i="9"/>
  <c r="K13" i="9" s="1"/>
  <c r="J13" i="9" s="1"/>
  <c r="I13" i="9" s="1"/>
  <c r="L15" i="9"/>
  <c r="K15" i="9" s="1"/>
  <c r="J15" i="9" s="1"/>
  <c r="I15" i="9" s="1"/>
  <c r="L16" i="9"/>
  <c r="K16" i="9" s="1"/>
  <c r="J16" i="9" s="1"/>
  <c r="I16" i="9" s="1"/>
  <c r="L17" i="9"/>
  <c r="K17" i="9" s="1"/>
  <c r="J17" i="9" s="1"/>
  <c r="I17" i="9" s="1"/>
  <c r="L6" i="9"/>
  <c r="K6" i="9" s="1"/>
  <c r="J6" i="9" s="1"/>
  <c r="I6" i="9" s="1"/>
  <c r="P20" i="13"/>
  <c r="N20" i="13" s="1"/>
  <c r="P9" i="13"/>
  <c r="N9" i="13" s="1"/>
  <c r="P16" i="13"/>
  <c r="N16" i="13" s="1"/>
  <c r="P8" i="13"/>
  <c r="N8" i="13" s="1"/>
  <c r="P14" i="13"/>
  <c r="N14" i="13" s="1"/>
  <c r="P13" i="13"/>
  <c r="N13" i="13" s="1"/>
  <c r="P5" i="13"/>
  <c r="N5" i="13" s="1"/>
  <c r="P19" i="13"/>
  <c r="N19" i="13" s="1"/>
  <c r="P12" i="13"/>
  <c r="N12" i="13" s="1"/>
  <c r="P4" i="13"/>
  <c r="P18" i="13"/>
  <c r="N18" i="13" s="1"/>
  <c r="P10" i="13"/>
  <c r="N10" i="13" s="1"/>
  <c r="P15" i="13"/>
  <c r="N15" i="13" s="1"/>
  <c r="P11" i="13"/>
  <c r="N11" i="13" s="1"/>
  <c r="P17" i="13"/>
  <c r="N17" i="13" s="1"/>
  <c r="P7" i="13"/>
  <c r="N7" i="13" s="1"/>
  <c r="P6" i="13"/>
  <c r="N6" i="13" s="1"/>
  <c r="L20" i="10" l="1"/>
  <c r="K20" i="10" s="1"/>
  <c r="J20" i="10" s="1"/>
  <c r="I20" i="10" s="1"/>
  <c r="L4" i="10"/>
  <c r="K4" i="10" s="1"/>
  <c r="J4" i="10" s="1"/>
  <c r="I4" i="10" s="1"/>
  <c r="L5" i="10"/>
  <c r="K5" i="10" s="1"/>
  <c r="J5" i="10" s="1"/>
  <c r="I5" i="10" s="1"/>
  <c r="L6" i="10"/>
  <c r="K6" i="10" s="1"/>
  <c r="J6" i="10" s="1"/>
  <c r="I6" i="10" s="1"/>
  <c r="L8" i="10"/>
  <c r="K8" i="10" s="1"/>
  <c r="J8" i="10" s="1"/>
  <c r="I8" i="10" s="1"/>
  <c r="L9" i="10"/>
  <c r="K9" i="10" s="1"/>
  <c r="J9" i="10" s="1"/>
  <c r="I9" i="10" s="1"/>
  <c r="L10" i="10"/>
  <c r="K10" i="10" s="1"/>
  <c r="J10" i="10" s="1"/>
  <c r="I10" i="10" s="1"/>
  <c r="L11" i="10"/>
  <c r="K11" i="10" s="1"/>
  <c r="J11" i="10" s="1"/>
  <c r="I11" i="10" s="1"/>
  <c r="L12" i="10"/>
  <c r="K12" i="10" s="1"/>
  <c r="J12" i="10" s="1"/>
  <c r="I12" i="10" s="1"/>
  <c r="L13" i="10"/>
  <c r="K13" i="10" s="1"/>
  <c r="J13" i="10" s="1"/>
  <c r="I13" i="10" s="1"/>
  <c r="L14" i="10"/>
  <c r="K14" i="10" s="1"/>
  <c r="J14" i="10" s="1"/>
  <c r="I14" i="10" s="1"/>
  <c r="L15" i="10"/>
  <c r="K15" i="10" s="1"/>
  <c r="J15" i="10" s="1"/>
  <c r="I15" i="10" s="1"/>
  <c r="L16" i="10"/>
  <c r="K16" i="10" s="1"/>
  <c r="J16" i="10" s="1"/>
  <c r="I16" i="10" s="1"/>
  <c r="L17" i="10"/>
  <c r="K17" i="10" s="1"/>
  <c r="J17" i="10" s="1"/>
  <c r="I17" i="10" s="1"/>
  <c r="L18" i="10"/>
  <c r="K18" i="10" s="1"/>
  <c r="J18" i="10" s="1"/>
  <c r="I18" i="10" s="1"/>
  <c r="L19" i="10"/>
  <c r="K19" i="10" s="1"/>
  <c r="J19" i="10" s="1"/>
  <c r="I19" i="10" s="1"/>
  <c r="L7" i="10"/>
  <c r="K7" i="10" s="1"/>
  <c r="J7" i="10" s="1"/>
  <c r="I7" i="10" s="1"/>
  <c r="N4" i="12"/>
  <c r="M4" i="12" s="1"/>
  <c r="N4" i="13"/>
  <c r="M4" i="13" s="1"/>
  <c r="F4" i="13"/>
  <c r="M7" i="13"/>
  <c r="M17" i="13"/>
  <c r="M11" i="13"/>
  <c r="M15" i="13"/>
  <c r="M10" i="13"/>
  <c r="M18" i="13"/>
  <c r="M12" i="13"/>
  <c r="M19" i="13"/>
  <c r="M13" i="13"/>
  <c r="M14" i="13"/>
  <c r="M8" i="13"/>
  <c r="M16" i="13"/>
  <c r="M9" i="13"/>
  <c r="M20" i="13"/>
  <c r="M6" i="13"/>
  <c r="I7" i="11"/>
  <c r="H7" i="11" s="1"/>
  <c r="I10" i="11"/>
  <c r="H10" i="11" s="1"/>
  <c r="I14" i="11"/>
  <c r="H14" i="11" s="1"/>
  <c r="I17" i="11"/>
  <c r="H17" i="11" s="1"/>
  <c r="I19" i="11"/>
  <c r="H19" i="11" s="1"/>
  <c r="I6" i="11"/>
  <c r="H6" i="11" s="1"/>
  <c r="I12" i="11"/>
  <c r="H12" i="11" s="1"/>
  <c r="I9" i="11"/>
  <c r="H9" i="11" s="1"/>
  <c r="I5" i="11"/>
  <c r="H5" i="11" s="1"/>
  <c r="I11" i="11"/>
  <c r="H11" i="11" s="1"/>
  <c r="I15" i="11"/>
  <c r="H15" i="11" s="1"/>
  <c r="I8" i="11"/>
  <c r="H8" i="11" s="1"/>
  <c r="I16" i="11"/>
  <c r="H16" i="11" s="1"/>
  <c r="I4" i="11"/>
  <c r="H4" i="11" s="1"/>
  <c r="I13" i="11"/>
  <c r="H13" i="11" s="1"/>
  <c r="I18" i="11"/>
  <c r="H18" i="11" s="1"/>
  <c r="I20" i="11"/>
  <c r="H20" i="11" s="1"/>
  <c r="K5" i="4" l="1"/>
  <c r="J5" i="4" s="1"/>
  <c r="I5" i="4" s="1"/>
  <c r="M5" i="13"/>
  <c r="K4" i="3"/>
  <c r="L11" i="1"/>
  <c r="K11" i="1" s="1"/>
  <c r="J11" i="1" s="1"/>
  <c r="I11" i="1" s="1"/>
  <c r="L15" i="1"/>
  <c r="K15" i="1" s="1"/>
  <c r="J15" i="1" s="1"/>
  <c r="I15" i="1" s="1"/>
  <c r="L17" i="1"/>
  <c r="K17" i="1" s="1"/>
  <c r="J17" i="1" s="1"/>
  <c r="I17" i="1" s="1"/>
  <c r="L14" i="1"/>
  <c r="K14" i="1" s="1"/>
  <c r="J14" i="1" s="1"/>
  <c r="I14" i="1" s="1"/>
  <c r="L16" i="1"/>
  <c r="K16" i="1" s="1"/>
  <c r="J16" i="1" s="1"/>
  <c r="I16" i="1" s="1"/>
  <c r="L12" i="1"/>
  <c r="K12" i="1" s="1"/>
  <c r="J12" i="1" s="1"/>
  <c r="I12" i="1" s="1"/>
  <c r="L13" i="1"/>
  <c r="K13" i="1" s="1"/>
  <c r="J13" i="1" s="1"/>
  <c r="I13" i="1" s="1"/>
  <c r="K22" i="2"/>
  <c r="I22" i="2" s="1"/>
  <c r="H22" i="2" s="1"/>
  <c r="K15" i="7"/>
  <c r="I15" i="7" s="1"/>
  <c r="L20" i="1"/>
  <c r="K20" i="1" s="1"/>
  <c r="J20" i="1" s="1"/>
  <c r="I20" i="1" s="1"/>
  <c r="L19" i="1"/>
  <c r="K19" i="1" s="1"/>
  <c r="J19" i="1" s="1"/>
  <c r="I19" i="1" s="1"/>
  <c r="L18" i="1"/>
  <c r="K18" i="1" s="1"/>
  <c r="J18" i="1" s="1"/>
  <c r="I18" i="1" s="1"/>
  <c r="L16" i="8" l="1"/>
  <c r="J16" i="8" s="1"/>
  <c r="I16" i="8" s="1"/>
  <c r="L17" i="8"/>
  <c r="J17" i="8" s="1"/>
  <c r="I17" i="8" s="1"/>
  <c r="L18" i="8"/>
  <c r="J18" i="8" s="1"/>
  <c r="I18" i="8" s="1"/>
  <c r="L19" i="8"/>
  <c r="J19" i="8" s="1"/>
  <c r="I19" i="8" s="1"/>
  <c r="L20" i="8"/>
  <c r="J20" i="8" s="1"/>
  <c r="I20" i="8" s="1"/>
  <c r="L21" i="8"/>
  <c r="J21" i="8" s="1"/>
  <c r="I21" i="8" s="1"/>
  <c r="L22" i="8"/>
  <c r="J22" i="8" s="1"/>
  <c r="I22" i="8" s="1"/>
  <c r="L23" i="8"/>
  <c r="J23" i="8" s="1"/>
  <c r="I23" i="8" s="1"/>
  <c r="L24" i="8"/>
  <c r="J24" i="8" s="1"/>
  <c r="I24" i="8" s="1"/>
  <c r="L25" i="8"/>
  <c r="J25" i="8" s="1"/>
  <c r="I25" i="8" s="1"/>
  <c r="L5" i="8"/>
  <c r="J5" i="8" s="1"/>
  <c r="I5" i="8" s="1"/>
  <c r="L6" i="8"/>
  <c r="J6" i="8" s="1"/>
  <c r="I6" i="8" s="1"/>
  <c r="L7" i="8"/>
  <c r="J7" i="8" s="1"/>
  <c r="I7" i="8" s="1"/>
  <c r="L8" i="8"/>
  <c r="J8" i="8" s="1"/>
  <c r="I8" i="8" s="1"/>
  <c r="L9" i="8"/>
  <c r="J9" i="8" s="1"/>
  <c r="I9" i="8" s="1"/>
  <c r="L10" i="8"/>
  <c r="J10" i="8" s="1"/>
  <c r="I10" i="8" s="1"/>
  <c r="L11" i="8"/>
  <c r="J11" i="8" s="1"/>
  <c r="I11" i="8" s="1"/>
  <c r="L12" i="8"/>
  <c r="J12" i="8" s="1"/>
  <c r="I12" i="8" s="1"/>
  <c r="L13" i="8"/>
  <c r="J13" i="8" s="1"/>
  <c r="I13" i="8" s="1"/>
  <c r="L14" i="8"/>
  <c r="J14" i="8" s="1"/>
  <c r="I14" i="8" s="1"/>
  <c r="L15" i="8"/>
  <c r="J15" i="8" s="1"/>
  <c r="I15" i="8" s="1"/>
  <c r="K20" i="6"/>
  <c r="I20" i="6" s="1"/>
  <c r="H20" i="6" s="1"/>
  <c r="K8" i="6"/>
  <c r="I8" i="6" s="1"/>
  <c r="H8" i="6" s="1"/>
  <c r="K9" i="6"/>
  <c r="I9" i="6" s="1"/>
  <c r="H9" i="6" s="1"/>
  <c r="K10" i="6"/>
  <c r="I10" i="6" s="1"/>
  <c r="H10" i="6" s="1"/>
  <c r="K4" i="6"/>
  <c r="I4" i="6" s="1"/>
  <c r="H4" i="6" s="1"/>
  <c r="K5" i="6"/>
  <c r="I5" i="6" s="1"/>
  <c r="H5" i="6" s="1"/>
  <c r="K6" i="6"/>
  <c r="I6" i="6" s="1"/>
  <c r="H6" i="6" s="1"/>
  <c r="K7" i="6"/>
  <c r="I7" i="6" s="1"/>
  <c r="H7" i="6" s="1"/>
  <c r="K12" i="3"/>
  <c r="I12" i="3" s="1"/>
  <c r="H12" i="3" s="1"/>
  <c r="K5" i="3"/>
  <c r="I5" i="3" s="1"/>
  <c r="H5" i="3" s="1"/>
  <c r="K6" i="3"/>
  <c r="I6" i="3" s="1"/>
  <c r="H6" i="3" s="1"/>
  <c r="K10" i="3"/>
  <c r="I10" i="3" s="1"/>
  <c r="H10" i="3" s="1"/>
  <c r="K8" i="3"/>
  <c r="I8" i="3" s="1"/>
  <c r="H8" i="3" s="1"/>
  <c r="K11" i="3"/>
  <c r="I11" i="3" s="1"/>
  <c r="H11" i="3" s="1"/>
  <c r="K13" i="3"/>
  <c r="I13" i="3" s="1"/>
  <c r="H13" i="3" s="1"/>
  <c r="I4" i="3"/>
  <c r="H4" i="3" s="1"/>
  <c r="K7" i="3"/>
  <c r="I7" i="3" s="1"/>
  <c r="H7" i="3" s="1"/>
  <c r="K9" i="3"/>
  <c r="I9" i="3" s="1"/>
  <c r="H9" i="3" s="1"/>
  <c r="K12" i="4"/>
  <c r="J12" i="4" s="1"/>
  <c r="I12" i="4" s="1"/>
  <c r="K4" i="4"/>
  <c r="J4" i="4" s="1"/>
  <c r="I4" i="4" s="1"/>
  <c r="K15" i="4"/>
  <c r="J15" i="4" s="1"/>
  <c r="I15" i="4" s="1"/>
  <c r="K19" i="4"/>
  <c r="J19" i="4" s="1"/>
  <c r="I19" i="4" s="1"/>
  <c r="K16" i="4"/>
  <c r="J16" i="4" s="1"/>
  <c r="I16" i="4" s="1"/>
  <c r="K11" i="4"/>
  <c r="J11" i="4" s="1"/>
  <c r="I11" i="4" s="1"/>
  <c r="K20" i="4"/>
  <c r="J20" i="4" s="1"/>
  <c r="I20" i="4" s="1"/>
  <c r="K10" i="4"/>
  <c r="J10" i="4" s="1"/>
  <c r="I10" i="4" s="1"/>
  <c r="K13" i="4"/>
  <c r="J13" i="4" s="1"/>
  <c r="I13" i="4" s="1"/>
  <c r="K9" i="4"/>
  <c r="J9" i="4" s="1"/>
  <c r="I9" i="4" s="1"/>
  <c r="K17" i="4"/>
  <c r="J17" i="4" s="1"/>
  <c r="I17" i="4" s="1"/>
  <c r="K8" i="4"/>
  <c r="J8" i="4" s="1"/>
  <c r="I8" i="4" s="1"/>
  <c r="K14" i="4"/>
  <c r="J14" i="4" s="1"/>
  <c r="I14" i="4" s="1"/>
  <c r="K7" i="4"/>
  <c r="J7" i="4" s="1"/>
  <c r="I7" i="4" s="1"/>
  <c r="K18" i="4"/>
  <c r="J18" i="4" s="1"/>
  <c r="I18" i="4" s="1"/>
  <c r="K6" i="4"/>
  <c r="J6" i="4" s="1"/>
  <c r="I6" i="4" s="1"/>
  <c r="H15" i="7"/>
  <c r="K5" i="2"/>
  <c r="I5" i="2" s="1"/>
  <c r="K12" i="2"/>
  <c r="I12" i="2" s="1"/>
  <c r="H12" i="2" s="1"/>
  <c r="K6" i="2"/>
  <c r="I6" i="2" s="1"/>
  <c r="H6" i="2" s="1"/>
  <c r="K9" i="2"/>
  <c r="I9" i="2" s="1"/>
  <c r="H9" i="2" s="1"/>
  <c r="K11" i="2"/>
  <c r="I11" i="2" s="1"/>
  <c r="H11" i="2" s="1"/>
  <c r="K7" i="2"/>
  <c r="I7" i="2" s="1"/>
  <c r="H7" i="2" s="1"/>
  <c r="K10" i="2"/>
  <c r="I10" i="2" s="1"/>
  <c r="H10" i="2" s="1"/>
  <c r="K8" i="2"/>
  <c r="I8" i="2" s="1"/>
  <c r="H8" i="2" s="1"/>
  <c r="K15" i="2"/>
  <c r="I15" i="2" s="1"/>
  <c r="H15" i="2" s="1"/>
  <c r="K16" i="2"/>
  <c r="I16" i="2" s="1"/>
  <c r="H16" i="2" s="1"/>
  <c r="K17" i="2"/>
  <c r="I17" i="2" s="1"/>
  <c r="H17" i="2" s="1"/>
  <c r="K20" i="2"/>
  <c r="I20" i="2" s="1"/>
  <c r="H20" i="2" s="1"/>
  <c r="K21" i="2"/>
  <c r="I21" i="2" s="1"/>
  <c r="H21" i="2" s="1"/>
  <c r="K4" i="2"/>
  <c r="I4" i="2" s="1"/>
  <c r="K13" i="2"/>
  <c r="I13" i="2" s="1"/>
  <c r="H13" i="2" s="1"/>
  <c r="K14" i="2"/>
  <c r="I14" i="2" s="1"/>
  <c r="H14" i="2" s="1"/>
  <c r="K18" i="2"/>
  <c r="I18" i="2" s="1"/>
  <c r="H18" i="2" s="1"/>
  <c r="K19" i="2"/>
  <c r="I19" i="2" s="1"/>
  <c r="H19" i="2" s="1"/>
  <c r="K14" i="3"/>
  <c r="I14" i="3" s="1"/>
  <c r="K16" i="3"/>
  <c r="I16" i="3" s="1"/>
  <c r="H16" i="3" s="1"/>
  <c r="K17" i="3"/>
  <c r="I17" i="3" s="1"/>
  <c r="K18" i="3"/>
  <c r="I18" i="3" s="1"/>
  <c r="H18" i="3" s="1"/>
  <c r="K19" i="3"/>
  <c r="I19" i="3" s="1"/>
  <c r="K15" i="3"/>
  <c r="I15" i="3" s="1"/>
  <c r="H15" i="3" s="1"/>
  <c r="K20" i="3"/>
  <c r="L4" i="8"/>
  <c r="J4" i="8" s="1"/>
  <c r="K20" i="7"/>
  <c r="I20" i="7" s="1"/>
  <c r="K19" i="7"/>
  <c r="I19" i="7" s="1"/>
  <c r="K11" i="7"/>
  <c r="I11" i="7" s="1"/>
  <c r="K12" i="7"/>
  <c r="I12" i="7" s="1"/>
  <c r="K6" i="7"/>
  <c r="I6" i="7" s="1"/>
  <c r="K17" i="7"/>
  <c r="I17" i="7" s="1"/>
  <c r="K16" i="7"/>
  <c r="I16" i="7" s="1"/>
  <c r="K10" i="7"/>
  <c r="I10" i="7" s="1"/>
  <c r="K8" i="7"/>
  <c r="I8" i="7" s="1"/>
  <c r="K13" i="7"/>
  <c r="I13" i="7" s="1"/>
  <c r="K5" i="7"/>
  <c r="I5" i="7" s="1"/>
  <c r="K14" i="7"/>
  <c r="I14" i="7" s="1"/>
  <c r="K7" i="7"/>
  <c r="I7" i="7" s="1"/>
  <c r="K18" i="7"/>
  <c r="I18" i="7" s="1"/>
  <c r="K9" i="7"/>
  <c r="I9" i="7" s="1"/>
  <c r="K16" i="6"/>
  <c r="I16" i="6" s="1"/>
  <c r="K12" i="6"/>
  <c r="I12" i="6" s="1"/>
  <c r="K17" i="6"/>
  <c r="I17" i="6" s="1"/>
  <c r="K13" i="6"/>
  <c r="I13" i="6" s="1"/>
  <c r="K18" i="6"/>
  <c r="I18" i="6" s="1"/>
  <c r="K14" i="6"/>
  <c r="I14" i="6" s="1"/>
  <c r="K15" i="6"/>
  <c r="I15" i="6" s="1"/>
  <c r="K19" i="6"/>
  <c r="I19" i="6" s="1"/>
  <c r="K11" i="6"/>
  <c r="I11" i="6" s="1"/>
  <c r="H14" i="3"/>
  <c r="H17" i="3"/>
  <c r="H19" i="3"/>
  <c r="H5" i="2" l="1"/>
  <c r="I20" i="3"/>
  <c r="H20" i="3" s="1"/>
  <c r="H9" i="7"/>
  <c r="H14" i="7"/>
  <c r="H8" i="7"/>
  <c r="H17" i="7"/>
  <c r="H12" i="7"/>
  <c r="H11" i="7"/>
  <c r="H20" i="7"/>
  <c r="H18" i="7"/>
  <c r="H7" i="7"/>
  <c r="H5" i="7"/>
  <c r="H13" i="7"/>
  <c r="H10" i="7"/>
  <c r="H16" i="7"/>
  <c r="H4" i="7"/>
  <c r="H6" i="7"/>
  <c r="H19" i="7"/>
  <c r="H4" i="2"/>
  <c r="I4" i="8"/>
  <c r="H16" i="6"/>
  <c r="H11" i="6"/>
  <c r="H13" i="6"/>
  <c r="H18" i="6"/>
  <c r="H19" i="6"/>
  <c r="H15" i="6"/>
  <c r="H17" i="6"/>
  <c r="H12" i="6"/>
  <c r="H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  <comment ref="F4" authorId="0" shapeId="0" xr:uid="{52269619-967C-4129-B3DD-BFBF5E7868A9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L price divided by dilution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5D3DF4D6-182D-4C33-87BB-CC4763FBCB25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  <comment ref="E4" authorId="0" shapeId="0" xr:uid="{95EC4E69-1C48-47A2-B6FB-167C32C71FEC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L price divided by dilution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5793C503-8C63-4E47-980F-3CF51D1E910A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  <comment ref="E4" authorId="0" shapeId="0" xr:uid="{64EDD0BC-5440-496F-AD42-E6F9AB1A1363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L price divided by dilution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  <comment ref="G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L price divided by dilution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B006722E-7ADE-400A-8AA4-6E669748EA68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  <comment ref="F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L price divided by dilution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42D512B2-7B0D-4089-88E0-79B28EBFA15E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16757ACD-B937-427E-BCE3-544193F3891B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  <comment ref="I4" authorId="0" shapeId="0" xr:uid="{8B11EDAA-E48C-4EBC-B1EE-15075CFECFC5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L price divided by dilution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Simpson | Simpsons Beverages</author>
  </authors>
  <commentList>
    <comment ref="A4" authorId="0" shapeId="0" xr:uid="{4A6ED55D-AAEB-4B4E-8AE3-8162133CC3F7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T-CODE
</t>
        </r>
      </text>
    </comment>
    <comment ref="I4" authorId="0" shapeId="0" xr:uid="{1C144E64-161F-4046-A86B-9C4F373E4F57}">
      <text>
        <r>
          <rPr>
            <b/>
            <sz val="9"/>
            <color indexed="81"/>
            <rFont val="Tahoma"/>
            <family val="2"/>
          </rPr>
          <t>Adrian Simpson | Simpsons Beverages:</t>
        </r>
        <r>
          <rPr>
            <sz val="9"/>
            <color indexed="81"/>
            <rFont val="Tahoma"/>
            <family val="2"/>
          </rPr>
          <t xml:space="preserve">
L price divided by dilution</t>
        </r>
      </text>
    </comment>
  </commentList>
</comments>
</file>

<file path=xl/sharedStrings.xml><?xml version="1.0" encoding="utf-8"?>
<sst xmlns="http://schemas.openxmlformats.org/spreadsheetml/2006/main" count="551" uniqueCount="123">
  <si>
    <t xml:space="preserve">CODE </t>
  </si>
  <si>
    <t>DESCRIPTION</t>
  </si>
  <si>
    <t>UNIT</t>
  </si>
  <si>
    <t>£/UNIT</t>
  </si>
  <si>
    <t>£/RTD L</t>
  </si>
  <si>
    <t>TOTAL COST</t>
  </si>
  <si>
    <t>GP</t>
  </si>
  <si>
    <t>L COST</t>
  </si>
  <si>
    <t>1000L COST</t>
  </si>
  <si>
    <t>PACK</t>
  </si>
  <si>
    <t>1000L COST (recipe/OGL).</t>
  </si>
  <si>
    <t>PACKAGING &amp; OVERHEAD COSTS</t>
  </si>
  <si>
    <t>IBC</t>
  </si>
  <si>
    <t>LABOUR</t>
  </si>
  <si>
    <t>TRANSPORT</t>
  </si>
  <si>
    <t>OVERHEADS</t>
  </si>
  <si>
    <t>QTY*</t>
  </si>
  <si>
    <t>NOTES</t>
  </si>
  <si>
    <t>10L PACKED COST</t>
  </si>
  <si>
    <t>PALLET</t>
  </si>
  <si>
    <t>BAG</t>
  </si>
  <si>
    <t>BOX</t>
  </si>
  <si>
    <t>TRANSPORT (68 BOXES PER PALLET).</t>
  </si>
  <si>
    <t>PER PALLET</t>
  </si>
  <si>
    <t>DO NOT CHANGE PINK CELLS</t>
  </si>
  <si>
    <t>QCD</t>
  </si>
  <si>
    <t>CHECK BAG TYPE</t>
  </si>
  <si>
    <t>SCHOLLE</t>
  </si>
  <si>
    <t>BOX TYPLE</t>
  </si>
  <si>
    <t>CARRIAGE/EX WORKS</t>
  </si>
  <si>
    <t>SILVER</t>
  </si>
  <si>
    <t>CMB</t>
  </si>
  <si>
    <t>QTY</t>
  </si>
  <si>
    <t>2X5L PACKED COST</t>
  </si>
  <si>
    <t>2X5L</t>
  </si>
  <si>
    <t>60-80 PER PALLET</t>
  </si>
  <si>
    <t xml:space="preserve"> PER PALLET</t>
  </si>
  <si>
    <t>5L CLOSURE</t>
  </si>
  <si>
    <t>PER CLOSURE</t>
  </si>
  <si>
    <t xml:space="preserve"> 5L BOTTLE</t>
  </si>
  <si>
    <t>PER BOTTLE</t>
  </si>
  <si>
    <t>PER LITRE</t>
  </si>
  <si>
    <t>LITRE</t>
  </si>
  <si>
    <t>25L CLOSURE</t>
  </si>
  <si>
    <t>25L CONTAINER</t>
  </si>
  <si>
    <t>PER CONTAINER</t>
  </si>
  <si>
    <t>4X5L PACKED COST</t>
  </si>
  <si>
    <t>PER BOX</t>
  </si>
  <si>
    <t>30-40 PER PALLET</t>
  </si>
  <si>
    <t>6X2L PACKED COST</t>
  </si>
  <si>
    <t>6X2L</t>
  </si>
  <si>
    <t>34 PER PALLET</t>
  </si>
  <si>
    <t>CHECK OTHER PRODUCTS THAT CUSTOMER TAKES, IS IT PART OF A RANGE?</t>
  </si>
  <si>
    <t>EX WORKS/CARRIAGE?</t>
  </si>
  <si>
    <t>GROUP COMPANY/LINKED COMPANIES PRICES</t>
  </si>
  <si>
    <t>CHECK, ABOVE £1 PER LITRE</t>
  </si>
  <si>
    <t>MIN GP 40% (UNLESS HIGH VOL/POTENTIAL)</t>
  </si>
  <si>
    <t>CONDITIONS FOR LOW GP, HUGE VOLUME, PRO FORMA, EX WORKS, EXPORT, NON-SEASONAL?</t>
  </si>
  <si>
    <t>PER 1L</t>
  </si>
  <si>
    <t>6X1L PACKED COST</t>
  </si>
  <si>
    <t>6L COST</t>
  </si>
  <si>
    <t xml:space="preserve"> </t>
  </si>
  <si>
    <t>1L CLOSURE</t>
  </si>
  <si>
    <t>1L BOTTLE</t>
  </si>
  <si>
    <t>LABEL</t>
  </si>
  <si>
    <t>TRAY</t>
  </si>
  <si>
    <t>TOSCA RENTAL</t>
  </si>
  <si>
    <t>1000L TOSCA LINER</t>
  </si>
  <si>
    <t>220L DRUM</t>
  </si>
  <si>
    <t>5 DRUMS X 200L</t>
  </si>
  <si>
    <t>£65 per pallet (800L)</t>
  </si>
  <si>
    <t>10L LIQ</t>
  </si>
  <si>
    <t>4X5L</t>
  </si>
  <si>
    <t>ENCORE</t>
  </si>
  <si>
    <t>PINK/UNQ</t>
  </si>
  <si>
    <t>PCSS</t>
  </si>
  <si>
    <t>Based on 80 per pallet</t>
  </si>
  <si>
    <t>6X1L</t>
  </si>
  <si>
    <t xml:space="preserve"> 6 X 2L BOTTLES</t>
  </si>
  <si>
    <t>6 X 5L CLOSURE</t>
  </si>
  <si>
    <t>POUCHES X 4</t>
  </si>
  <si>
    <t>INVESTMENT</t>
  </si>
  <si>
    <t>CHECK</t>
  </si>
  <si>
    <t>4X770ML</t>
  </si>
  <si>
    <t>EACH</t>
  </si>
  <si>
    <t>LIQUID COST</t>
  </si>
  <si>
    <t>2X2.25</t>
  </si>
  <si>
    <t>10L LIQUID COST</t>
  </si>
  <si>
    <t>12L COST</t>
  </si>
  <si>
    <t>3.08L LIQUID COST</t>
  </si>
  <si>
    <t>4X0.770L PACKED COST</t>
  </si>
  <si>
    <t>4.5L  LIQUID COST</t>
  </si>
  <si>
    <t>1.2L LIQUID COST</t>
  </si>
  <si>
    <t>2X600ML</t>
  </si>
  <si>
    <t>2X2.25L</t>
  </si>
  <si>
    <t>2X600ML POUCH</t>
  </si>
  <si>
    <t>2X2.25L POUCH</t>
  </si>
  <si>
    <t>PER POUCH</t>
  </si>
  <si>
    <t>1X INSERT</t>
  </si>
  <si>
    <t>1X BOX</t>
  </si>
  <si>
    <t>PER INSERT</t>
  </si>
  <si>
    <t>PER PACK</t>
  </si>
  <si>
    <t>FAT</t>
  </si>
  <si>
    <t>IF 500L THEN DOUBLE PACK COST</t>
  </si>
  <si>
    <t>32 X 25L CONTAINERS PER PALLET</t>
  </si>
  <si>
    <t>£/1000L</t>
  </si>
  <si>
    <t>PER 1000L</t>
  </si>
  <si>
    <t>PER L</t>
  </si>
  <si>
    <t>PACK (10L)</t>
  </si>
  <si>
    <t>PER 4X5L</t>
  </si>
  <si>
    <t>PER 2X5L</t>
  </si>
  <si>
    <t>PRN COST</t>
  </si>
  <si>
    <t>12X750ML</t>
  </si>
  <si>
    <t xml:space="preserve"> BOTTLES </t>
  </si>
  <si>
    <t xml:space="preserve"> CAPS </t>
  </si>
  <si>
    <t xml:space="preserve"> BOX </t>
  </si>
  <si>
    <t xml:space="preserve"> LABOUR </t>
  </si>
  <si>
    <t xml:space="preserve"> PALLET </t>
  </si>
  <si>
    <t xml:space="preserve"> TRANSPORT </t>
  </si>
  <si>
    <t>12X750ML PACKED COST</t>
  </si>
  <si>
    <t>CAPS</t>
  </si>
  <si>
    <t>770ML BOTTLE</t>
  </si>
  <si>
    <t>10L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</si>
</sst>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£&quot;#,##0.00_);[Red]\(&quot;£&quot;#,##0.00\)"/>
    <numFmt numFmtId="165" formatCode="_(* #,##0.00_);_(* \(#,##0.00\);_(* &quot;-&quot;??_);_(@_)"/>
    <numFmt numFmtId="166" formatCode="_-* #,##0.000_-;\-* #,##0.000_-;_-* &quot;-&quot;??_-;_-@_-"/>
    <numFmt numFmtId="167" formatCode="_-* #,##0_-;\-* #,##0_-;_-* &quot;-&quot;??_-;_-@_-"/>
    <numFmt numFmtId="168" formatCode="_-* #,##0.0_-;\-* #,##0.0_-;_-* &quot;-&quot;??_-;_-@_-"/>
    <numFmt numFmtId="169" formatCode="0.0000"/>
    <numFmt numFmtId="170" formatCode="_(* #,##0.000_);_(* \(#,##0.000\);_(* &quot;-&quot;??_);_(@_)"/>
    <numFmt numFmtId="171" formatCode="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26262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A3A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2" applyFont="1" applyAlignment="1">
      <alignment horizontal="center"/>
    </xf>
    <xf numFmtId="165" fontId="2" fillId="0" borderId="0" xfId="1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9" fontId="2" fillId="3" borderId="0" xfId="2" applyFont="1" applyFill="1" applyBorder="1" applyAlignment="1">
      <alignment horizontal="center"/>
    </xf>
    <xf numFmtId="165" fontId="2" fillId="4" borderId="0" xfId="1" applyFont="1" applyFill="1"/>
    <xf numFmtId="0" fontId="2" fillId="4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165" fontId="0" fillId="0" borderId="1" xfId="0" applyNumberFormat="1" applyBorder="1"/>
    <xf numFmtId="166" fontId="0" fillId="0" borderId="1" xfId="1" applyNumberFormat="1" applyFont="1" applyBorder="1"/>
    <xf numFmtId="166" fontId="0" fillId="0" borderId="1" xfId="0" applyNumberFormat="1" applyBorder="1"/>
    <xf numFmtId="9" fontId="0" fillId="3" borderId="0" xfId="2" applyFont="1" applyFill="1" applyBorder="1" applyAlignment="1">
      <alignment horizontal="center"/>
    </xf>
    <xf numFmtId="165" fontId="0" fillId="4" borderId="0" xfId="1" applyFont="1" applyFill="1"/>
    <xf numFmtId="0" fontId="0" fillId="5" borderId="0" xfId="0" applyFill="1"/>
    <xf numFmtId="167" fontId="0" fillId="0" borderId="1" xfId="1" applyNumberFormat="1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167" fontId="0" fillId="0" borderId="2" xfId="0" applyNumberFormat="1" applyBorder="1"/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5" fontId="0" fillId="0" borderId="0" xfId="1" applyFont="1"/>
    <xf numFmtId="0" fontId="0" fillId="0" borderId="1" xfId="0" applyBorder="1" applyAlignment="1">
      <alignment horizontal="right"/>
    </xf>
    <xf numFmtId="168" fontId="2" fillId="0" borderId="0" xfId="1" applyNumberFormat="1" applyFont="1"/>
    <xf numFmtId="168" fontId="2" fillId="4" borderId="0" xfId="1" applyNumberFormat="1" applyFont="1" applyFill="1"/>
    <xf numFmtId="168" fontId="0" fillId="5" borderId="0" xfId="1" applyNumberFormat="1" applyFont="1" applyFill="1"/>
    <xf numFmtId="168" fontId="0" fillId="0" borderId="0" xfId="1" applyNumberFormat="1" applyFont="1"/>
    <xf numFmtId="0" fontId="2" fillId="6" borderId="0" xfId="0" applyFont="1" applyFill="1"/>
    <xf numFmtId="166" fontId="0" fillId="6" borderId="0" xfId="0" applyNumberFormat="1" applyFill="1"/>
    <xf numFmtId="0" fontId="0" fillId="6" borderId="0" xfId="0" applyFill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65" fontId="2" fillId="0" borderId="0" xfId="1" applyFont="1" applyBorder="1"/>
    <xf numFmtId="165" fontId="0" fillId="0" borderId="0" xfId="0" applyNumberFormat="1"/>
    <xf numFmtId="165" fontId="1" fillId="4" borderId="0" xfId="1" applyFont="1" applyFill="1"/>
    <xf numFmtId="165" fontId="0" fillId="5" borderId="1" xfId="1" applyFont="1" applyFill="1" applyBorder="1"/>
    <xf numFmtId="165" fontId="0" fillId="7" borderId="1" xfId="1" applyFont="1" applyFill="1" applyBorder="1"/>
    <xf numFmtId="0" fontId="0" fillId="7" borderId="0" xfId="0" applyFill="1"/>
    <xf numFmtId="0" fontId="0" fillId="0" borderId="3" xfId="0" applyBorder="1" applyAlignment="1">
      <alignment horizontal="right"/>
    </xf>
    <xf numFmtId="165" fontId="0" fillId="5" borderId="0" xfId="1" applyFont="1" applyFill="1"/>
    <xf numFmtId="4" fontId="0" fillId="5" borderId="0" xfId="0" applyNumberFormat="1" applyFill="1"/>
    <xf numFmtId="0" fontId="3" fillId="0" borderId="1" xfId="0" applyFont="1" applyBorder="1"/>
    <xf numFmtId="165" fontId="3" fillId="0" borderId="1" xfId="0" applyNumberFormat="1" applyFont="1" applyBorder="1" applyAlignment="1">
      <alignment horizontal="center"/>
    </xf>
    <xf numFmtId="167" fontId="0" fillId="0" borderId="0" xfId="1" applyNumberFormat="1" applyFont="1"/>
    <xf numFmtId="167" fontId="2" fillId="0" borderId="0" xfId="1" applyNumberFormat="1" applyFont="1"/>
    <xf numFmtId="0" fontId="3" fillId="0" borderId="1" xfId="0" applyFont="1" applyBorder="1" applyAlignment="1">
      <alignment horizontal="center"/>
    </xf>
    <xf numFmtId="167" fontId="0" fillId="0" borderId="1" xfId="0" applyNumberFormat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9" fillId="0" borderId="1" xfId="0" applyFont="1" applyBorder="1"/>
    <xf numFmtId="9" fontId="0" fillId="0" borderId="0" xfId="2" applyFont="1" applyFill="1" applyAlignment="1">
      <alignment horizontal="center"/>
    </xf>
    <xf numFmtId="165" fontId="0" fillId="0" borderId="0" xfId="1" applyFont="1" applyFill="1"/>
    <xf numFmtId="166" fontId="0" fillId="0" borderId="1" xfId="1" applyNumberFormat="1" applyFont="1" applyBorder="1" applyAlignment="1">
      <alignment horizontal="center"/>
    </xf>
    <xf numFmtId="165" fontId="0" fillId="0" borderId="1" xfId="1" applyFont="1" applyBorder="1" applyAlignment="1">
      <alignment horizontal="center"/>
    </xf>
    <xf numFmtId="165" fontId="0" fillId="7" borderId="0" xfId="1" applyFont="1" applyFill="1"/>
    <xf numFmtId="0" fontId="3" fillId="0" borderId="1" xfId="0" applyFont="1" applyBorder="1" applyAlignment="1">
      <alignment vertical="center"/>
    </xf>
    <xf numFmtId="165" fontId="0" fillId="8" borderId="1" xfId="1" applyFont="1" applyFill="1" applyBorder="1"/>
    <xf numFmtId="165" fontId="0" fillId="8" borderId="0" xfId="1" applyFont="1" applyFill="1"/>
    <xf numFmtId="165" fontId="0" fillId="8" borderId="0" xfId="1" applyFont="1" applyFill="1" applyAlignment="1">
      <alignment horizontal="center"/>
    </xf>
    <xf numFmtId="168" fontId="2" fillId="0" borderId="0" xfId="1" applyNumberFormat="1" applyFont="1" applyAlignment="1">
      <alignment horizontal="center"/>
    </xf>
    <xf numFmtId="168" fontId="2" fillId="4" borderId="0" xfId="1" applyNumberFormat="1" applyFont="1" applyFill="1" applyAlignment="1">
      <alignment horizontal="center"/>
    </xf>
    <xf numFmtId="168" fontId="0" fillId="5" borderId="0" xfId="1" applyNumberFormat="1" applyFont="1" applyFill="1" applyAlignment="1">
      <alignment horizontal="center"/>
    </xf>
    <xf numFmtId="168" fontId="0" fillId="0" borderId="0" xfId="1" applyNumberFormat="1" applyFont="1" applyAlignment="1">
      <alignment horizontal="center"/>
    </xf>
    <xf numFmtId="165" fontId="7" fillId="0" borderId="0" xfId="1" applyFont="1" applyAlignment="1">
      <alignment horizontal="center" vertical="center"/>
    </xf>
    <xf numFmtId="0" fontId="0" fillId="5" borderId="1" xfId="0" applyFill="1" applyBorder="1"/>
    <xf numFmtId="166" fontId="0" fillId="0" borderId="0" xfId="1" applyNumberFormat="1" applyFont="1" applyFill="1" applyBorder="1"/>
    <xf numFmtId="166" fontId="0" fillId="0" borderId="0" xfId="0" applyNumberFormat="1"/>
    <xf numFmtId="164" fontId="0" fillId="0" borderId="0" xfId="0" applyNumberFormat="1"/>
    <xf numFmtId="0" fontId="0" fillId="0" borderId="1" xfId="0" applyBorder="1" applyAlignment="1">
      <alignment horizontal="left"/>
    </xf>
    <xf numFmtId="167" fontId="0" fillId="7" borderId="0" xfId="1" applyNumberFormat="1" applyFont="1" applyFill="1"/>
    <xf numFmtId="165" fontId="2" fillId="8" borderId="0" xfId="1" applyFont="1" applyFill="1"/>
    <xf numFmtId="0" fontId="0" fillId="8" borderId="0" xfId="0" applyFill="1"/>
    <xf numFmtId="0" fontId="2" fillId="8" borderId="0" xfId="0" applyFont="1" applyFill="1"/>
    <xf numFmtId="167" fontId="2" fillId="8" borderId="0" xfId="1" applyNumberFormat="1" applyFont="1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165" fontId="0" fillId="7" borderId="0" xfId="1" applyFont="1" applyFill="1" applyAlignment="1">
      <alignment horizontal="center"/>
    </xf>
    <xf numFmtId="0" fontId="0" fillId="5" borderId="0" xfId="0" applyFill="1" applyAlignment="1">
      <alignment horizontal="center"/>
    </xf>
    <xf numFmtId="169" fontId="0" fillId="5" borderId="0" xfId="0" applyNumberFormat="1" applyFill="1"/>
    <xf numFmtId="170" fontId="0" fillId="5" borderId="0" xfId="1" applyNumberFormat="1" applyFont="1" applyFill="1"/>
    <xf numFmtId="171" fontId="0" fillId="5" borderId="0" xfId="0" applyNumberFormat="1" applyFill="1"/>
    <xf numFmtId="0" fontId="2" fillId="0" borderId="1" xfId="0" applyFont="1" applyBorder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Q35"/>
  <sheetViews>
    <sheetView tabSelected="1" workbookViewId="0">
      <selection activeCell="M4" sqref="M4"/>
    </sheetView>
  </sheetViews>
  <sheetFormatPr defaultRowHeight="15" x14ac:dyDescent="0.25"/>
  <cols>
    <col min="1" max="1" width="8.85546875" customWidth="1"/>
    <col min="2" max="2" width="42.140625" bestFit="1" customWidth="1"/>
    <col min="3" max="5" width="11.28515625" style="24" customWidth="1"/>
    <col min="6" max="6" width="10.7109375" bestFit="1" customWidth="1"/>
    <col min="7" max="7" width="11.85546875" customWidth="1"/>
    <col min="9" max="9" width="9.140625" style="25"/>
    <col min="10" max="10" width="13.42578125" style="26" customWidth="1"/>
    <col min="11" max="11" width="12.28515625" style="26" bestFit="1" customWidth="1"/>
    <col min="12" max="12" width="20.85546875" customWidth="1"/>
    <col min="13" max="13" width="23.85546875" bestFit="1" customWidth="1"/>
  </cols>
  <sheetData>
    <row r="2" spans="1:17" x14ac:dyDescent="0.25">
      <c r="A2" s="1"/>
      <c r="B2" s="1"/>
      <c r="C2" s="2"/>
      <c r="D2" s="2"/>
      <c r="E2" s="2"/>
      <c r="F2" s="1"/>
      <c r="G2" s="1"/>
      <c r="H2" s="1"/>
      <c r="I2" s="3"/>
      <c r="J2" s="4"/>
      <c r="K2" s="4"/>
      <c r="L2" s="1"/>
    </row>
    <row r="3" spans="1:17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32</v>
      </c>
      <c r="F3" s="5" t="s">
        <v>4</v>
      </c>
      <c r="G3" s="5" t="s">
        <v>5</v>
      </c>
      <c r="H3" s="32"/>
      <c r="I3" s="7" t="s">
        <v>6</v>
      </c>
      <c r="J3" s="8" t="s">
        <v>7</v>
      </c>
      <c r="K3" s="8" t="s">
        <v>8</v>
      </c>
      <c r="L3" s="9" t="s">
        <v>9</v>
      </c>
      <c r="M3" s="9" t="s">
        <v>10</v>
      </c>
    </row>
    <row r="4" spans="1:17" x14ac:dyDescent="0.25">
      <c r="A4" s="76"/>
      <c r="B4" s="10"/>
      <c r="C4" s="11" t="s">
        <v>42</v>
      </c>
      <c r="D4" s="12"/>
      <c r="E4" s="12"/>
      <c r="F4" s="15"/>
      <c r="G4" s="10"/>
      <c r="H4" s="34"/>
      <c r="I4" s="17" t="e">
        <f t="shared" ref="I4:I10" si="0">(D4-J4)/D4</f>
        <v>#DIV/0!</v>
      </c>
      <c r="J4" s="18">
        <f t="shared" ref="J4:J10" si="1">K4/1000</f>
        <v>0.20822289999999999</v>
      </c>
      <c r="K4" s="18">
        <f t="shared" ref="K4:K10" si="2">M4+L4</f>
        <v>208.22289999999998</v>
      </c>
      <c r="L4" s="19">
        <f t="shared" ref="L4:L20" si="3">$C$28</f>
        <v>208.22289999999998</v>
      </c>
      <c r="M4" s="19"/>
    </row>
    <row r="5" spans="1:17" x14ac:dyDescent="0.25">
      <c r="A5" s="76"/>
      <c r="B5" s="10"/>
      <c r="C5" s="11" t="s">
        <v>42</v>
      </c>
      <c r="D5" s="12"/>
      <c r="E5" s="12"/>
      <c r="F5" s="15"/>
      <c r="G5" s="10"/>
      <c r="H5" s="34"/>
      <c r="I5" s="17" t="e">
        <f t="shared" si="0"/>
        <v>#DIV/0!</v>
      </c>
      <c r="J5" s="18">
        <f t="shared" si="1"/>
        <v>0.20822289999999999</v>
      </c>
      <c r="K5" s="18">
        <f t="shared" si="2"/>
        <v>208.22289999999998</v>
      </c>
      <c r="L5" s="19">
        <f t="shared" si="3"/>
        <v>208.22289999999998</v>
      </c>
      <c r="M5" s="19"/>
      <c r="P5" s="75"/>
      <c r="Q5" s="75"/>
    </row>
    <row r="6" spans="1:17" x14ac:dyDescent="0.25">
      <c r="A6" s="76"/>
      <c r="B6" s="10"/>
      <c r="C6" s="11" t="s">
        <v>42</v>
      </c>
      <c r="D6" s="12"/>
      <c r="E6" s="12"/>
      <c r="F6" s="15"/>
      <c r="G6" s="10"/>
      <c r="H6" s="34"/>
      <c r="I6" s="17" t="e">
        <f t="shared" si="0"/>
        <v>#DIV/0!</v>
      </c>
      <c r="J6" s="18">
        <f t="shared" si="1"/>
        <v>0.20822289999999999</v>
      </c>
      <c r="K6" s="18">
        <f t="shared" si="2"/>
        <v>208.22289999999998</v>
      </c>
      <c r="L6" s="19">
        <f t="shared" si="3"/>
        <v>208.22289999999998</v>
      </c>
      <c r="M6" s="19"/>
    </row>
    <row r="7" spans="1:17" x14ac:dyDescent="0.25">
      <c r="A7" s="76"/>
      <c r="B7" s="10"/>
      <c r="C7" s="11" t="s">
        <v>42</v>
      </c>
      <c r="D7" s="12"/>
      <c r="E7" s="12"/>
      <c r="F7" s="15"/>
      <c r="G7" s="10"/>
      <c r="H7" s="34"/>
      <c r="I7" s="17" t="e">
        <f t="shared" si="0"/>
        <v>#DIV/0!</v>
      </c>
      <c r="J7" s="18">
        <f t="shared" si="1"/>
        <v>0.20822289999999999</v>
      </c>
      <c r="K7" s="18">
        <f t="shared" si="2"/>
        <v>208.22289999999998</v>
      </c>
      <c r="L7" s="19">
        <f t="shared" si="3"/>
        <v>208.22289999999998</v>
      </c>
      <c r="M7" s="19"/>
    </row>
    <row r="8" spans="1:17" x14ac:dyDescent="0.25">
      <c r="A8" s="76"/>
      <c r="B8" s="10"/>
      <c r="C8" s="11" t="s">
        <v>42</v>
      </c>
      <c r="D8" s="12"/>
      <c r="E8" s="12"/>
      <c r="F8" s="15"/>
      <c r="G8" s="10"/>
      <c r="H8" s="34"/>
      <c r="I8" s="17" t="e">
        <f t="shared" si="0"/>
        <v>#DIV/0!</v>
      </c>
      <c r="J8" s="18">
        <f t="shared" si="1"/>
        <v>0.20822289999999999</v>
      </c>
      <c r="K8" s="18">
        <f t="shared" si="2"/>
        <v>208.22289999999998</v>
      </c>
      <c r="L8" s="19">
        <f t="shared" si="3"/>
        <v>208.22289999999998</v>
      </c>
      <c r="M8" s="19"/>
    </row>
    <row r="9" spans="1:17" x14ac:dyDescent="0.25">
      <c r="A9" s="76"/>
      <c r="B9" s="10"/>
      <c r="C9" s="11" t="s">
        <v>42</v>
      </c>
      <c r="D9" s="12"/>
      <c r="E9" s="12"/>
      <c r="F9" s="15"/>
      <c r="G9" s="10"/>
      <c r="H9" s="34"/>
      <c r="I9" s="17" t="e">
        <f t="shared" si="0"/>
        <v>#DIV/0!</v>
      </c>
      <c r="J9" s="18">
        <f t="shared" si="1"/>
        <v>0.20822289999999999</v>
      </c>
      <c r="K9" s="18">
        <f t="shared" si="2"/>
        <v>208.22289999999998</v>
      </c>
      <c r="L9" s="19">
        <f t="shared" si="3"/>
        <v>208.22289999999998</v>
      </c>
      <c r="M9" s="19"/>
    </row>
    <row r="10" spans="1:17" x14ac:dyDescent="0.25">
      <c r="A10" s="76"/>
      <c r="B10" s="10"/>
      <c r="C10" s="11" t="s">
        <v>42</v>
      </c>
      <c r="D10" s="12"/>
      <c r="E10" s="12"/>
      <c r="F10" s="15"/>
      <c r="G10" s="10"/>
      <c r="H10" s="34"/>
      <c r="I10" s="17" t="e">
        <f t="shared" si="0"/>
        <v>#DIV/0!</v>
      </c>
      <c r="J10" s="18">
        <f t="shared" si="1"/>
        <v>0.20822289999999999</v>
      </c>
      <c r="K10" s="18">
        <f t="shared" si="2"/>
        <v>208.22289999999998</v>
      </c>
      <c r="L10" s="19">
        <f t="shared" si="3"/>
        <v>208.22289999999998</v>
      </c>
      <c r="M10" s="19"/>
    </row>
    <row r="11" spans="1:17" x14ac:dyDescent="0.25">
      <c r="A11" s="76"/>
      <c r="B11" s="89"/>
      <c r="C11" s="11" t="s">
        <v>42</v>
      </c>
      <c r="D11" s="12"/>
      <c r="E11" s="12"/>
      <c r="F11" s="15"/>
      <c r="G11" s="10"/>
      <c r="H11" s="34"/>
      <c r="I11" s="17" t="e">
        <f t="shared" ref="I11:I20" si="4">(D11-J11)/D11</f>
        <v>#DIV/0!</v>
      </c>
      <c r="J11" s="18">
        <f t="shared" ref="J11:J17" si="5">K11/1000</f>
        <v>0.20822289999999999</v>
      </c>
      <c r="K11" s="18">
        <f t="shared" ref="K11:K17" si="6">M11+L11</f>
        <v>208.22289999999998</v>
      </c>
      <c r="L11" s="19">
        <f t="shared" si="3"/>
        <v>208.22289999999998</v>
      </c>
      <c r="M11" s="19"/>
    </row>
    <row r="12" spans="1:17" x14ac:dyDescent="0.25">
      <c r="A12" s="76"/>
      <c r="B12" s="10"/>
      <c r="C12" s="11" t="s">
        <v>42</v>
      </c>
      <c r="D12" s="12"/>
      <c r="E12" s="12"/>
      <c r="F12" s="15"/>
      <c r="G12" s="10"/>
      <c r="H12" s="34"/>
      <c r="I12" s="17" t="e">
        <f t="shared" si="4"/>
        <v>#DIV/0!</v>
      </c>
      <c r="J12" s="18">
        <f t="shared" si="5"/>
        <v>0.20822289999999999</v>
      </c>
      <c r="K12" s="18">
        <f t="shared" si="6"/>
        <v>208.22289999999998</v>
      </c>
      <c r="L12" s="19">
        <f t="shared" si="3"/>
        <v>208.22289999999998</v>
      </c>
      <c r="M12" s="19"/>
    </row>
    <row r="13" spans="1:17" x14ac:dyDescent="0.25">
      <c r="A13" s="76"/>
      <c r="B13" s="10"/>
      <c r="C13" s="11" t="s">
        <v>42</v>
      </c>
      <c r="D13" s="12"/>
      <c r="E13" s="12"/>
      <c r="F13" s="15"/>
      <c r="G13" s="10"/>
      <c r="H13" s="34"/>
      <c r="I13" s="17" t="e">
        <f t="shared" si="4"/>
        <v>#DIV/0!</v>
      </c>
      <c r="J13" s="18">
        <f t="shared" si="5"/>
        <v>0.20822289999999999</v>
      </c>
      <c r="K13" s="18">
        <f t="shared" si="6"/>
        <v>208.22289999999998</v>
      </c>
      <c r="L13" s="19">
        <f t="shared" si="3"/>
        <v>208.22289999999998</v>
      </c>
      <c r="M13" s="19"/>
    </row>
    <row r="14" spans="1:17" x14ac:dyDescent="0.25">
      <c r="A14" s="76"/>
      <c r="B14" s="10"/>
      <c r="C14" s="11" t="s">
        <v>42</v>
      </c>
      <c r="D14" s="12"/>
      <c r="E14" s="12"/>
      <c r="F14" s="15"/>
      <c r="G14" s="10"/>
      <c r="H14" s="34"/>
      <c r="I14" s="17" t="e">
        <f t="shared" si="4"/>
        <v>#DIV/0!</v>
      </c>
      <c r="J14" s="18">
        <f t="shared" si="5"/>
        <v>0.20822289999999999</v>
      </c>
      <c r="K14" s="18">
        <f t="shared" si="6"/>
        <v>208.22289999999998</v>
      </c>
      <c r="L14" s="19">
        <f t="shared" si="3"/>
        <v>208.22289999999998</v>
      </c>
      <c r="M14" s="19"/>
    </row>
    <row r="15" spans="1:17" x14ac:dyDescent="0.25">
      <c r="A15" s="76"/>
      <c r="B15" s="10"/>
      <c r="C15" s="11" t="s">
        <v>42</v>
      </c>
      <c r="D15" s="12"/>
      <c r="E15" s="12"/>
      <c r="F15" s="15"/>
      <c r="G15" s="10"/>
      <c r="H15" s="34"/>
      <c r="I15" s="17" t="e">
        <f t="shared" si="4"/>
        <v>#DIV/0!</v>
      </c>
      <c r="J15" s="18">
        <f t="shared" si="5"/>
        <v>0.20822289999999999</v>
      </c>
      <c r="K15" s="18">
        <f t="shared" si="6"/>
        <v>208.22289999999998</v>
      </c>
      <c r="L15" s="19">
        <f t="shared" si="3"/>
        <v>208.22289999999998</v>
      </c>
      <c r="M15" s="19"/>
    </row>
    <row r="16" spans="1:17" x14ac:dyDescent="0.25">
      <c r="A16" s="76"/>
      <c r="B16" s="10"/>
      <c r="C16" s="11" t="s">
        <v>42</v>
      </c>
      <c r="D16" s="12"/>
      <c r="E16" s="12"/>
      <c r="F16" s="15"/>
      <c r="G16" s="10"/>
      <c r="H16" s="34"/>
      <c r="I16" s="17" t="e">
        <f t="shared" si="4"/>
        <v>#DIV/0!</v>
      </c>
      <c r="J16" s="18">
        <f t="shared" si="5"/>
        <v>0.20822289999999999</v>
      </c>
      <c r="K16" s="18">
        <f t="shared" si="6"/>
        <v>208.22289999999998</v>
      </c>
      <c r="L16" s="19">
        <f t="shared" si="3"/>
        <v>208.22289999999998</v>
      </c>
      <c r="M16" s="19"/>
    </row>
    <row r="17" spans="1:13" x14ac:dyDescent="0.25">
      <c r="A17" s="76"/>
      <c r="B17" s="10"/>
      <c r="C17" s="11" t="s">
        <v>42</v>
      </c>
      <c r="D17" s="12"/>
      <c r="E17" s="12"/>
      <c r="F17" s="15"/>
      <c r="G17" s="10"/>
      <c r="H17" s="34"/>
      <c r="I17" s="17" t="e">
        <f t="shared" si="4"/>
        <v>#DIV/0!</v>
      </c>
      <c r="J17" s="18">
        <f t="shared" si="5"/>
        <v>0.20822289999999999</v>
      </c>
      <c r="K17" s="18">
        <f t="shared" si="6"/>
        <v>208.22289999999998</v>
      </c>
      <c r="L17" s="19">
        <f t="shared" si="3"/>
        <v>208.22289999999998</v>
      </c>
      <c r="M17" s="19"/>
    </row>
    <row r="18" spans="1:13" x14ac:dyDescent="0.25">
      <c r="A18" s="76"/>
      <c r="B18" s="10"/>
      <c r="C18" s="11" t="s">
        <v>42</v>
      </c>
      <c r="D18" s="12"/>
      <c r="E18" s="12"/>
      <c r="F18" s="15"/>
      <c r="G18" s="10"/>
      <c r="H18" s="34"/>
      <c r="I18" s="17" t="e">
        <f t="shared" si="4"/>
        <v>#DIV/0!</v>
      </c>
      <c r="J18" s="18">
        <f>K18/1000</f>
        <v>0.20822289999999999</v>
      </c>
      <c r="K18" s="18">
        <f>M18+L18</f>
        <v>208.22289999999998</v>
      </c>
      <c r="L18" s="19">
        <f t="shared" si="3"/>
        <v>208.22289999999998</v>
      </c>
      <c r="M18" s="19"/>
    </row>
    <row r="19" spans="1:13" x14ac:dyDescent="0.25">
      <c r="A19" s="76"/>
      <c r="B19" s="10"/>
      <c r="C19" s="11" t="s">
        <v>42</v>
      </c>
      <c r="D19" s="12"/>
      <c r="E19" s="12"/>
      <c r="F19" s="15"/>
      <c r="G19" s="10"/>
      <c r="H19" s="34"/>
      <c r="I19" s="17" t="e">
        <f t="shared" si="4"/>
        <v>#DIV/0!</v>
      </c>
      <c r="J19" s="18">
        <f>K19/1000</f>
        <v>0.20822289999999999</v>
      </c>
      <c r="K19" s="18">
        <f>M19+L19</f>
        <v>208.22289999999998</v>
      </c>
      <c r="L19" s="19">
        <f t="shared" si="3"/>
        <v>208.22289999999998</v>
      </c>
      <c r="M19" s="19"/>
    </row>
    <row r="20" spans="1:13" x14ac:dyDescent="0.25">
      <c r="A20" s="76"/>
      <c r="B20" s="10"/>
      <c r="C20" s="11" t="s">
        <v>42</v>
      </c>
      <c r="D20" s="12"/>
      <c r="E20" s="12"/>
      <c r="F20" s="15"/>
      <c r="G20" s="10"/>
      <c r="H20" s="34"/>
      <c r="I20" s="17" t="e">
        <f t="shared" si="4"/>
        <v>#DIV/0!</v>
      </c>
      <c r="J20" s="18">
        <f>K20/1000</f>
        <v>0.20822289999999999</v>
      </c>
      <c r="K20" s="18">
        <f>M20+L20</f>
        <v>208.22289999999998</v>
      </c>
      <c r="L20" s="19">
        <f t="shared" si="3"/>
        <v>208.22289999999998</v>
      </c>
      <c r="M20" s="19"/>
    </row>
    <row r="21" spans="1:13" x14ac:dyDescent="0.25">
      <c r="E21" s="2" t="s">
        <v>103</v>
      </c>
    </row>
    <row r="22" spans="1:13" x14ac:dyDescent="0.25">
      <c r="B22" s="1" t="s">
        <v>11</v>
      </c>
    </row>
    <row r="23" spans="1:13" x14ac:dyDescent="0.25">
      <c r="B23" s="35" t="s">
        <v>66</v>
      </c>
      <c r="C23" s="84">
        <v>51.5</v>
      </c>
    </row>
    <row r="24" spans="1:13" x14ac:dyDescent="0.25">
      <c r="B24" s="27" t="s">
        <v>67</v>
      </c>
      <c r="C24" s="62">
        <v>11.722899999999999</v>
      </c>
    </row>
    <row r="25" spans="1:13" x14ac:dyDescent="0.25">
      <c r="B25" s="27" t="s">
        <v>13</v>
      </c>
      <c r="C25" s="62">
        <v>60</v>
      </c>
    </row>
    <row r="26" spans="1:13" x14ac:dyDescent="0.25">
      <c r="B26" s="27" t="s">
        <v>14</v>
      </c>
      <c r="C26" s="62">
        <v>65</v>
      </c>
    </row>
    <row r="27" spans="1:13" x14ac:dyDescent="0.25">
      <c r="B27" s="27" t="s">
        <v>15</v>
      </c>
      <c r="C27" s="62">
        <v>20</v>
      </c>
    </row>
    <row r="28" spans="1:13" x14ac:dyDescent="0.25">
      <c r="B28" s="10"/>
      <c r="C28" s="78">
        <f>SUM(C23:C27)</f>
        <v>208.22289999999998</v>
      </c>
      <c r="D28" s="83" t="s">
        <v>106</v>
      </c>
      <c r="F28" s="53"/>
      <c r="G28" s="52"/>
      <c r="H28" s="53"/>
      <c r="I28" s="53"/>
    </row>
    <row r="29" spans="1:13" x14ac:dyDescent="0.25">
      <c r="F29" s="53"/>
      <c r="G29" s="52"/>
      <c r="H29" s="53"/>
      <c r="I29" s="53"/>
    </row>
    <row r="30" spans="1:13" x14ac:dyDescent="0.25">
      <c r="I30" s="58"/>
      <c r="J30" s="59"/>
    </row>
    <row r="31" spans="1:13" x14ac:dyDescent="0.25">
      <c r="I31" s="58"/>
      <c r="J31" s="59"/>
    </row>
    <row r="34" spans="6:9" x14ac:dyDescent="0.25">
      <c r="F34" s="54"/>
      <c r="G34" s="55"/>
      <c r="H34" s="54"/>
      <c r="I34" s="56"/>
    </row>
    <row r="35" spans="6:9" x14ac:dyDescent="0.25">
      <c r="F35" s="53"/>
      <c r="G35" s="52"/>
      <c r="H35" s="53"/>
      <c r="I35" s="53"/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C76F-01B9-4680-81BE-58FA252AB2ED}">
  <sheetPr codeName="Sheet2"/>
  <dimension ref="A2:M35"/>
  <sheetViews>
    <sheetView workbookViewId="0">
      <selection activeCell="C27" sqref="C22:E27"/>
    </sheetView>
  </sheetViews>
  <sheetFormatPr defaultRowHeight="15" x14ac:dyDescent="0.25"/>
  <cols>
    <col min="1" max="1" width="8.85546875" customWidth="1"/>
    <col min="2" max="2" width="42.140625" bestFit="1" customWidth="1"/>
    <col min="3" max="3" width="9" style="24" customWidth="1"/>
    <col min="4" max="4" width="11.28515625" style="24" customWidth="1"/>
    <col min="5" max="5" width="10.7109375" style="24" bestFit="1" customWidth="1"/>
    <col min="6" max="6" width="10.7109375" style="24" customWidth="1"/>
    <col min="7" max="7" width="11.85546875" customWidth="1"/>
    <col min="9" max="9" width="9.140625" style="25"/>
    <col min="10" max="10" width="13.42578125" style="26" customWidth="1"/>
    <col min="11" max="11" width="12.28515625" style="26" bestFit="1" customWidth="1"/>
    <col min="12" max="12" width="20.85546875" customWidth="1"/>
    <col min="13" max="13" width="23.85546875" bestFit="1" customWidth="1"/>
  </cols>
  <sheetData>
    <row r="2" spans="1:13" x14ac:dyDescent="0.25">
      <c r="A2" s="1"/>
      <c r="B2" s="1"/>
      <c r="C2" s="2"/>
      <c r="D2" s="2"/>
      <c r="E2" s="2"/>
      <c r="F2" s="2"/>
      <c r="G2" s="1"/>
      <c r="H2" s="1"/>
      <c r="I2" s="3"/>
      <c r="J2" s="4"/>
      <c r="K2" s="4"/>
      <c r="L2" s="1"/>
    </row>
    <row r="3" spans="1:13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32</v>
      </c>
      <c r="F3" s="5" t="s">
        <v>4</v>
      </c>
      <c r="G3" s="5" t="s">
        <v>5</v>
      </c>
      <c r="H3" s="32"/>
      <c r="I3" s="7" t="s">
        <v>6</v>
      </c>
      <c r="J3" s="8" t="s">
        <v>7</v>
      </c>
      <c r="K3" s="8" t="s">
        <v>8</v>
      </c>
      <c r="L3" s="9" t="s">
        <v>9</v>
      </c>
      <c r="M3" s="9" t="s">
        <v>10</v>
      </c>
    </row>
    <row r="4" spans="1:13" x14ac:dyDescent="0.25">
      <c r="A4" s="76"/>
      <c r="B4" s="76"/>
      <c r="C4" s="11" t="s">
        <v>42</v>
      </c>
      <c r="D4" s="12"/>
      <c r="E4" s="60"/>
      <c r="F4" s="60"/>
      <c r="G4" s="10"/>
      <c r="H4" s="34"/>
      <c r="I4" s="17" t="e">
        <f t="shared" ref="I4:I19" si="0">(D4-J4)/D4</f>
        <v>#DIV/0!</v>
      </c>
      <c r="J4" s="18">
        <f t="shared" ref="J4:J19" si="1">K4/1000</f>
        <v>0.25646000000000002</v>
      </c>
      <c r="K4" s="18">
        <f t="shared" ref="K4:K19" si="2">M4+L4</f>
        <v>256.46000000000004</v>
      </c>
      <c r="L4" s="19">
        <f t="shared" ref="L4:L20" si="3">$C$27</f>
        <v>256.46000000000004</v>
      </c>
      <c r="M4" s="19"/>
    </row>
    <row r="5" spans="1:13" x14ac:dyDescent="0.25">
      <c r="A5" s="76"/>
      <c r="B5" s="76"/>
      <c r="C5" s="11" t="s">
        <v>42</v>
      </c>
      <c r="D5" s="12"/>
      <c r="E5" s="60"/>
      <c r="F5" s="60"/>
      <c r="G5" s="10"/>
      <c r="H5" s="34"/>
      <c r="I5" s="17" t="e">
        <f t="shared" si="0"/>
        <v>#DIV/0!</v>
      </c>
      <c r="J5" s="18">
        <f t="shared" si="1"/>
        <v>0.25646000000000002</v>
      </c>
      <c r="K5" s="18">
        <f t="shared" si="2"/>
        <v>256.46000000000004</v>
      </c>
      <c r="L5" s="19">
        <f t="shared" si="3"/>
        <v>256.46000000000004</v>
      </c>
      <c r="M5" s="19"/>
    </row>
    <row r="6" spans="1:13" x14ac:dyDescent="0.25">
      <c r="A6" s="76"/>
      <c r="B6" s="76"/>
      <c r="C6" s="11" t="s">
        <v>42</v>
      </c>
      <c r="D6" s="12"/>
      <c r="E6" s="60"/>
      <c r="F6" s="60"/>
      <c r="G6" s="10"/>
      <c r="H6" s="34"/>
      <c r="I6" s="17" t="e">
        <f t="shared" si="0"/>
        <v>#DIV/0!</v>
      </c>
      <c r="J6" s="18">
        <f t="shared" si="1"/>
        <v>0.25646000000000002</v>
      </c>
      <c r="K6" s="18">
        <f t="shared" si="2"/>
        <v>256.46000000000004</v>
      </c>
      <c r="L6" s="19">
        <f t="shared" si="3"/>
        <v>256.46000000000004</v>
      </c>
      <c r="M6" s="19"/>
    </row>
    <row r="7" spans="1:13" x14ac:dyDescent="0.25">
      <c r="A7" s="76"/>
      <c r="B7" s="76"/>
      <c r="C7" s="11" t="s">
        <v>42</v>
      </c>
      <c r="D7" s="12"/>
      <c r="E7" s="60"/>
      <c r="F7" s="60"/>
      <c r="G7" s="10"/>
      <c r="H7" s="34"/>
      <c r="I7" s="17" t="e">
        <f t="shared" si="0"/>
        <v>#DIV/0!</v>
      </c>
      <c r="J7" s="18">
        <f t="shared" si="1"/>
        <v>0.25646000000000002</v>
      </c>
      <c r="K7" s="18">
        <f t="shared" si="2"/>
        <v>256.46000000000004</v>
      </c>
      <c r="L7" s="19">
        <f t="shared" si="3"/>
        <v>256.46000000000004</v>
      </c>
      <c r="M7" s="19"/>
    </row>
    <row r="8" spans="1:13" x14ac:dyDescent="0.25">
      <c r="A8" s="76"/>
      <c r="B8" s="76"/>
      <c r="C8" s="11" t="s">
        <v>42</v>
      </c>
      <c r="D8" s="12"/>
      <c r="E8" s="60"/>
      <c r="F8" s="60"/>
      <c r="G8" s="10"/>
      <c r="H8" s="34"/>
      <c r="I8" s="17" t="e">
        <f t="shared" si="0"/>
        <v>#DIV/0!</v>
      </c>
      <c r="J8" s="18">
        <f t="shared" si="1"/>
        <v>0.25646000000000002</v>
      </c>
      <c r="K8" s="18">
        <f t="shared" si="2"/>
        <v>256.46000000000004</v>
      </c>
      <c r="L8" s="19">
        <f t="shared" si="3"/>
        <v>256.46000000000004</v>
      </c>
      <c r="M8" s="19"/>
    </row>
    <row r="9" spans="1:13" x14ac:dyDescent="0.25">
      <c r="A9" s="76"/>
      <c r="B9" s="76"/>
      <c r="C9" s="11" t="s">
        <v>42</v>
      </c>
      <c r="D9" s="12"/>
      <c r="E9" s="60"/>
      <c r="F9" s="60"/>
      <c r="G9" s="10"/>
      <c r="H9" s="34"/>
      <c r="I9" s="17" t="e">
        <f t="shared" si="0"/>
        <v>#DIV/0!</v>
      </c>
      <c r="J9" s="18">
        <f t="shared" si="1"/>
        <v>0.25646000000000002</v>
      </c>
      <c r="K9" s="18">
        <f t="shared" si="2"/>
        <v>256.46000000000004</v>
      </c>
      <c r="L9" s="19">
        <f t="shared" si="3"/>
        <v>256.46000000000004</v>
      </c>
      <c r="M9" s="19"/>
    </row>
    <row r="10" spans="1:13" x14ac:dyDescent="0.25">
      <c r="A10" s="76"/>
      <c r="B10" s="76"/>
      <c r="C10" s="11" t="s">
        <v>42</v>
      </c>
      <c r="D10" s="12"/>
      <c r="E10" s="60"/>
      <c r="F10" s="60"/>
      <c r="G10" s="10"/>
      <c r="H10" s="34"/>
      <c r="I10" s="17" t="e">
        <f t="shared" si="0"/>
        <v>#DIV/0!</v>
      </c>
      <c r="J10" s="18">
        <f t="shared" si="1"/>
        <v>0.25646000000000002</v>
      </c>
      <c r="K10" s="18">
        <f t="shared" si="2"/>
        <v>256.46000000000004</v>
      </c>
      <c r="L10" s="19">
        <f t="shared" si="3"/>
        <v>256.46000000000004</v>
      </c>
      <c r="M10" s="19"/>
    </row>
    <row r="11" spans="1:13" x14ac:dyDescent="0.25">
      <c r="A11" s="76"/>
      <c r="B11" s="76"/>
      <c r="C11" s="11" t="s">
        <v>42</v>
      </c>
      <c r="D11" s="12"/>
      <c r="E11" s="60"/>
      <c r="F11" s="60"/>
      <c r="G11" s="10"/>
      <c r="H11" s="34"/>
      <c r="I11" s="17" t="e">
        <f t="shared" si="0"/>
        <v>#DIV/0!</v>
      </c>
      <c r="J11" s="18">
        <f t="shared" si="1"/>
        <v>0.25646000000000002</v>
      </c>
      <c r="K11" s="18">
        <f t="shared" si="2"/>
        <v>256.46000000000004</v>
      </c>
      <c r="L11" s="19">
        <f t="shared" si="3"/>
        <v>256.46000000000004</v>
      </c>
      <c r="M11" s="19"/>
    </row>
    <row r="12" spans="1:13" x14ac:dyDescent="0.25">
      <c r="A12" s="76"/>
      <c r="B12" s="76"/>
      <c r="C12" s="11" t="s">
        <v>42</v>
      </c>
      <c r="D12" s="12"/>
      <c r="E12" s="60"/>
      <c r="F12" s="60"/>
      <c r="G12" s="10"/>
      <c r="H12" s="34"/>
      <c r="I12" s="17" t="e">
        <f t="shared" si="0"/>
        <v>#DIV/0!</v>
      </c>
      <c r="J12" s="18">
        <f t="shared" si="1"/>
        <v>0.25646000000000002</v>
      </c>
      <c r="K12" s="18">
        <f t="shared" si="2"/>
        <v>256.46000000000004</v>
      </c>
      <c r="L12" s="19">
        <f t="shared" si="3"/>
        <v>256.46000000000004</v>
      </c>
      <c r="M12" s="19"/>
    </row>
    <row r="13" spans="1:13" x14ac:dyDescent="0.25">
      <c r="A13" s="76"/>
      <c r="B13" s="76"/>
      <c r="C13" s="11" t="s">
        <v>42</v>
      </c>
      <c r="D13" s="12"/>
      <c r="E13" s="60"/>
      <c r="F13" s="60"/>
      <c r="G13" s="10"/>
      <c r="H13" s="34"/>
      <c r="I13" s="17" t="e">
        <f t="shared" si="0"/>
        <v>#DIV/0!</v>
      </c>
      <c r="J13" s="18">
        <f t="shared" si="1"/>
        <v>0.25646000000000002</v>
      </c>
      <c r="K13" s="18">
        <f t="shared" si="2"/>
        <v>256.46000000000004</v>
      </c>
      <c r="L13" s="19">
        <f t="shared" si="3"/>
        <v>256.46000000000004</v>
      </c>
      <c r="M13" s="19"/>
    </row>
    <row r="14" spans="1:13" x14ac:dyDescent="0.25">
      <c r="A14" s="76"/>
      <c r="B14" s="76"/>
      <c r="C14" s="11" t="s">
        <v>42</v>
      </c>
      <c r="D14" s="12"/>
      <c r="E14" s="60"/>
      <c r="F14" s="60"/>
      <c r="G14" s="10"/>
      <c r="H14" s="34"/>
      <c r="I14" s="17" t="e">
        <f t="shared" si="0"/>
        <v>#DIV/0!</v>
      </c>
      <c r="J14" s="18">
        <f t="shared" si="1"/>
        <v>0.25646000000000002</v>
      </c>
      <c r="K14" s="18">
        <f t="shared" si="2"/>
        <v>256.46000000000004</v>
      </c>
      <c r="L14" s="19">
        <f t="shared" si="3"/>
        <v>256.46000000000004</v>
      </c>
      <c r="M14" s="19"/>
    </row>
    <row r="15" spans="1:13" x14ac:dyDescent="0.25">
      <c r="A15" s="76"/>
      <c r="B15" s="76"/>
      <c r="C15" s="11" t="s">
        <v>42</v>
      </c>
      <c r="D15" s="12"/>
      <c r="E15" s="60"/>
      <c r="F15" s="60"/>
      <c r="G15" s="10"/>
      <c r="H15" s="34"/>
      <c r="I15" s="17" t="e">
        <f t="shared" si="0"/>
        <v>#DIV/0!</v>
      </c>
      <c r="J15" s="18">
        <f t="shared" si="1"/>
        <v>0.25646000000000002</v>
      </c>
      <c r="K15" s="18">
        <f t="shared" si="2"/>
        <v>256.46000000000004</v>
      </c>
      <c r="L15" s="19">
        <f t="shared" si="3"/>
        <v>256.46000000000004</v>
      </c>
      <c r="M15" s="19"/>
    </row>
    <row r="16" spans="1:13" x14ac:dyDescent="0.25">
      <c r="A16" s="76"/>
      <c r="B16" s="76"/>
      <c r="C16" s="11" t="s">
        <v>42</v>
      </c>
      <c r="D16" s="12"/>
      <c r="E16" s="60"/>
      <c r="F16" s="60"/>
      <c r="G16" s="10"/>
      <c r="H16" s="34"/>
      <c r="I16" s="17" t="e">
        <f t="shared" si="0"/>
        <v>#DIV/0!</v>
      </c>
      <c r="J16" s="18">
        <f t="shared" si="1"/>
        <v>0.25646000000000002</v>
      </c>
      <c r="K16" s="18">
        <f t="shared" si="2"/>
        <v>256.46000000000004</v>
      </c>
      <c r="L16" s="19">
        <f t="shared" si="3"/>
        <v>256.46000000000004</v>
      </c>
      <c r="M16" s="19"/>
    </row>
    <row r="17" spans="1:13" x14ac:dyDescent="0.25">
      <c r="A17" s="76"/>
      <c r="B17" s="76"/>
      <c r="C17" s="11" t="s">
        <v>42</v>
      </c>
      <c r="D17" s="12"/>
      <c r="E17" s="60"/>
      <c r="F17" s="60"/>
      <c r="G17" s="10"/>
      <c r="H17" s="34"/>
      <c r="I17" s="17" t="e">
        <f t="shared" si="0"/>
        <v>#DIV/0!</v>
      </c>
      <c r="J17" s="18">
        <f t="shared" si="1"/>
        <v>0.25646000000000002</v>
      </c>
      <c r="K17" s="18">
        <f t="shared" si="2"/>
        <v>256.46000000000004</v>
      </c>
      <c r="L17" s="19">
        <f t="shared" si="3"/>
        <v>256.46000000000004</v>
      </c>
      <c r="M17" s="19"/>
    </row>
    <row r="18" spans="1:13" x14ac:dyDescent="0.25">
      <c r="A18" s="76"/>
      <c r="B18" s="76"/>
      <c r="C18" s="11" t="s">
        <v>42</v>
      </c>
      <c r="D18" s="12"/>
      <c r="E18" s="60"/>
      <c r="F18" s="60"/>
      <c r="G18" s="10"/>
      <c r="H18" s="34"/>
      <c r="I18" s="17" t="e">
        <f t="shared" si="0"/>
        <v>#DIV/0!</v>
      </c>
      <c r="J18" s="18">
        <f t="shared" si="1"/>
        <v>0.25646000000000002</v>
      </c>
      <c r="K18" s="18">
        <f t="shared" si="2"/>
        <v>256.46000000000004</v>
      </c>
      <c r="L18" s="19">
        <f t="shared" si="3"/>
        <v>256.46000000000004</v>
      </c>
      <c r="M18" s="19"/>
    </row>
    <row r="19" spans="1:13" x14ac:dyDescent="0.25">
      <c r="A19" s="76"/>
      <c r="B19" s="76"/>
      <c r="C19" s="11" t="s">
        <v>42</v>
      </c>
      <c r="D19" s="12"/>
      <c r="E19" s="60"/>
      <c r="F19" s="60"/>
      <c r="G19" s="10"/>
      <c r="H19" s="34"/>
      <c r="I19" s="17" t="e">
        <f t="shared" si="0"/>
        <v>#DIV/0!</v>
      </c>
      <c r="J19" s="18">
        <f t="shared" si="1"/>
        <v>0.25646000000000002</v>
      </c>
      <c r="K19" s="18">
        <f t="shared" si="2"/>
        <v>256.46000000000004</v>
      </c>
      <c r="L19" s="19">
        <f t="shared" si="3"/>
        <v>256.46000000000004</v>
      </c>
      <c r="M19" s="19"/>
    </row>
    <row r="20" spans="1:13" x14ac:dyDescent="0.25">
      <c r="A20" s="76"/>
      <c r="B20" s="76"/>
      <c r="C20" s="11" t="s">
        <v>42</v>
      </c>
      <c r="D20" s="12"/>
      <c r="E20" s="60"/>
      <c r="F20" s="60"/>
      <c r="G20" s="10"/>
      <c r="H20" s="34"/>
      <c r="I20" s="17" t="e">
        <f t="shared" ref="I20" si="4">(D20-J20)/D20</f>
        <v>#DIV/0!</v>
      </c>
      <c r="J20" s="18">
        <f t="shared" ref="J20" si="5">K20/1000</f>
        <v>0.25646000000000002</v>
      </c>
      <c r="K20" s="18">
        <f t="shared" ref="K20" si="6">M20+L20</f>
        <v>256.46000000000004</v>
      </c>
      <c r="L20" s="19">
        <f t="shared" si="3"/>
        <v>256.46000000000004</v>
      </c>
      <c r="M20" s="19"/>
    </row>
    <row r="21" spans="1:13" x14ac:dyDescent="0.25">
      <c r="E21" s="2" t="s">
        <v>103</v>
      </c>
    </row>
    <row r="22" spans="1:13" x14ac:dyDescent="0.25">
      <c r="B22" s="1" t="s">
        <v>11</v>
      </c>
      <c r="D22" s="24" t="s">
        <v>12</v>
      </c>
      <c r="E22" s="24" t="s">
        <v>111</v>
      </c>
    </row>
    <row r="23" spans="1:13" x14ac:dyDescent="0.25">
      <c r="B23" s="27" t="s">
        <v>12</v>
      </c>
      <c r="C23" s="42">
        <f>D23+E23</f>
        <v>111.46000000000001</v>
      </c>
      <c r="D23" s="85">
        <v>98.92</v>
      </c>
      <c r="E23" s="24">
        <v>12.54</v>
      </c>
    </row>
    <row r="24" spans="1:13" x14ac:dyDescent="0.25">
      <c r="B24" s="27" t="s">
        <v>13</v>
      </c>
      <c r="C24" s="42">
        <v>60</v>
      </c>
    </row>
    <row r="25" spans="1:13" x14ac:dyDescent="0.25">
      <c r="B25" s="27" t="s">
        <v>14</v>
      </c>
      <c r="C25" s="42">
        <v>65</v>
      </c>
    </row>
    <row r="26" spans="1:13" x14ac:dyDescent="0.25">
      <c r="B26" s="27" t="s">
        <v>15</v>
      </c>
      <c r="C26" s="42">
        <v>20</v>
      </c>
    </row>
    <row r="27" spans="1:13" x14ac:dyDescent="0.25">
      <c r="B27" s="10"/>
      <c r="C27" s="80">
        <f>SUM(C23:C26)</f>
        <v>256.46000000000004</v>
      </c>
      <c r="D27" s="83" t="s">
        <v>106</v>
      </c>
    </row>
    <row r="28" spans="1:13" x14ac:dyDescent="0.25">
      <c r="E28" s="53"/>
      <c r="F28" s="53"/>
      <c r="G28" s="52"/>
      <c r="H28" s="53"/>
      <c r="I28" s="53"/>
    </row>
    <row r="29" spans="1:13" x14ac:dyDescent="0.25">
      <c r="E29" s="53"/>
      <c r="F29" s="53"/>
      <c r="G29" s="52"/>
      <c r="H29" s="53"/>
      <c r="I29" s="53"/>
    </row>
    <row r="30" spans="1:13" x14ac:dyDescent="0.25">
      <c r="I30" s="58"/>
      <c r="J30" s="59"/>
    </row>
    <row r="31" spans="1:13" x14ac:dyDescent="0.25">
      <c r="I31" s="58"/>
      <c r="J31" s="59"/>
    </row>
    <row r="34" spans="5:9" x14ac:dyDescent="0.25">
      <c r="E34" s="54"/>
      <c r="F34" s="54"/>
      <c r="G34" s="55"/>
      <c r="H34" s="54"/>
      <c r="I34" s="56"/>
    </row>
    <row r="35" spans="5:9" x14ac:dyDescent="0.25">
      <c r="E35" s="53"/>
      <c r="F35" s="53"/>
      <c r="G35" s="52"/>
      <c r="H35" s="53"/>
      <c r="I35" s="53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D54E-FCDB-4816-9F91-27D7257385AB}">
  <sheetPr codeName="Sheet3"/>
  <dimension ref="A2:M36"/>
  <sheetViews>
    <sheetView workbookViewId="0">
      <selection activeCell="C22" sqref="C22:G28"/>
    </sheetView>
  </sheetViews>
  <sheetFormatPr defaultRowHeight="15" x14ac:dyDescent="0.25"/>
  <cols>
    <col min="1" max="1" width="8.85546875" customWidth="1"/>
    <col min="2" max="2" width="42.140625" bestFit="1" customWidth="1"/>
    <col min="3" max="3" width="9" style="24" customWidth="1"/>
    <col min="4" max="4" width="11.28515625" style="24" customWidth="1"/>
    <col min="5" max="5" width="10.7109375" style="24" bestFit="1" customWidth="1"/>
    <col min="6" max="6" width="10.7109375" style="24" customWidth="1"/>
    <col min="7" max="7" width="11.85546875" customWidth="1"/>
    <col min="9" max="9" width="9.140625" style="25"/>
    <col min="10" max="10" width="13.42578125" style="26" customWidth="1"/>
    <col min="11" max="11" width="12.28515625" style="26" bestFit="1" customWidth="1"/>
    <col min="12" max="12" width="20.85546875" customWidth="1"/>
    <col min="13" max="13" width="23.85546875" bestFit="1" customWidth="1"/>
  </cols>
  <sheetData>
    <row r="2" spans="1:13" x14ac:dyDescent="0.25">
      <c r="A2" s="1"/>
      <c r="B2" s="1"/>
      <c r="C2" s="2"/>
      <c r="D2" s="2"/>
      <c r="E2" s="2"/>
      <c r="F2" s="2"/>
      <c r="G2" s="1"/>
      <c r="H2" s="1"/>
      <c r="I2" s="3"/>
      <c r="J2" s="4"/>
      <c r="K2" s="4"/>
      <c r="L2" s="1"/>
    </row>
    <row r="3" spans="1:13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32</v>
      </c>
      <c r="F3" s="5" t="s">
        <v>4</v>
      </c>
      <c r="G3" s="5" t="s">
        <v>5</v>
      </c>
      <c r="H3" s="32"/>
      <c r="I3" s="7" t="s">
        <v>6</v>
      </c>
      <c r="J3" s="8" t="s">
        <v>7</v>
      </c>
      <c r="K3" s="8" t="s">
        <v>8</v>
      </c>
      <c r="L3" s="9" t="s">
        <v>9</v>
      </c>
      <c r="M3" s="9" t="s">
        <v>10</v>
      </c>
    </row>
    <row r="4" spans="1:13" x14ac:dyDescent="0.25">
      <c r="A4" s="76"/>
      <c r="B4" s="76"/>
      <c r="C4" s="11" t="s">
        <v>42</v>
      </c>
      <c r="D4" s="61"/>
      <c r="E4" s="60"/>
      <c r="F4" s="60"/>
      <c r="G4" s="10"/>
      <c r="H4" s="34"/>
      <c r="I4" s="17" t="e">
        <f t="shared" ref="I4:I7" si="0">(D4-J4)/D4</f>
        <v>#DIV/0!</v>
      </c>
      <c r="J4" s="18">
        <f t="shared" ref="J4:J7" si="1">K4/1000</f>
        <v>0.320826</v>
      </c>
      <c r="K4" s="18">
        <f t="shared" ref="K4:K7" si="2">M4+L4</f>
        <v>320.82600000000002</v>
      </c>
      <c r="L4" s="19">
        <f t="shared" ref="L4:L20" si="3">$C$28</f>
        <v>320.82600000000002</v>
      </c>
      <c r="M4" s="19"/>
    </row>
    <row r="5" spans="1:13" x14ac:dyDescent="0.25">
      <c r="A5" s="76"/>
      <c r="B5" s="76"/>
      <c r="C5" s="11" t="s">
        <v>42</v>
      </c>
      <c r="D5" s="61"/>
      <c r="E5" s="60"/>
      <c r="F5" s="60"/>
      <c r="G5" s="10"/>
      <c r="H5" s="34"/>
      <c r="I5" s="17" t="e">
        <f t="shared" si="0"/>
        <v>#DIV/0!</v>
      </c>
      <c r="J5" s="18">
        <f t="shared" si="1"/>
        <v>0.320826</v>
      </c>
      <c r="K5" s="18">
        <f t="shared" si="2"/>
        <v>320.82600000000002</v>
      </c>
      <c r="L5" s="19">
        <f t="shared" si="3"/>
        <v>320.82600000000002</v>
      </c>
      <c r="M5" s="19"/>
    </row>
    <row r="6" spans="1:13" x14ac:dyDescent="0.25">
      <c r="A6" s="76"/>
      <c r="B6" s="76"/>
      <c r="C6" s="11" t="s">
        <v>42</v>
      </c>
      <c r="D6" s="61"/>
      <c r="E6" s="60"/>
      <c r="F6" s="60"/>
      <c r="G6" s="10"/>
      <c r="H6" s="34"/>
      <c r="I6" s="17" t="e">
        <f t="shared" si="0"/>
        <v>#DIV/0!</v>
      </c>
      <c r="J6" s="18">
        <f t="shared" si="1"/>
        <v>0.320826</v>
      </c>
      <c r="K6" s="18">
        <f t="shared" si="2"/>
        <v>320.82600000000002</v>
      </c>
      <c r="L6" s="19">
        <f t="shared" si="3"/>
        <v>320.82600000000002</v>
      </c>
      <c r="M6" s="19"/>
    </row>
    <row r="7" spans="1:13" x14ac:dyDescent="0.25">
      <c r="A7" s="76"/>
      <c r="B7" s="76"/>
      <c r="C7" s="11" t="s">
        <v>42</v>
      </c>
      <c r="D7" s="61"/>
      <c r="E7" s="60"/>
      <c r="F7" s="60"/>
      <c r="G7" s="10"/>
      <c r="H7" s="34"/>
      <c r="I7" s="17" t="e">
        <f t="shared" si="0"/>
        <v>#DIV/0!</v>
      </c>
      <c r="J7" s="18">
        <f t="shared" si="1"/>
        <v>0.320826</v>
      </c>
      <c r="K7" s="18">
        <f t="shared" si="2"/>
        <v>320.82600000000002</v>
      </c>
      <c r="L7" s="19">
        <f t="shared" si="3"/>
        <v>320.82600000000002</v>
      </c>
      <c r="M7" s="19"/>
    </row>
    <row r="8" spans="1:13" x14ac:dyDescent="0.25">
      <c r="A8" s="76"/>
      <c r="B8" s="76"/>
      <c r="C8" s="11" t="s">
        <v>42</v>
      </c>
      <c r="D8" s="61"/>
      <c r="E8" s="60"/>
      <c r="F8" s="60"/>
      <c r="G8" s="10"/>
      <c r="H8" s="34"/>
      <c r="I8" s="17" t="e">
        <f t="shared" ref="I8:I19" si="4">(D8-J8)/D8</f>
        <v>#DIV/0!</v>
      </c>
      <c r="J8" s="18">
        <f t="shared" ref="J8:J19" si="5">K8/1000</f>
        <v>0.320826</v>
      </c>
      <c r="K8" s="18">
        <f t="shared" ref="K8:K19" si="6">M8+L8</f>
        <v>320.82600000000002</v>
      </c>
      <c r="L8" s="19">
        <f t="shared" si="3"/>
        <v>320.82600000000002</v>
      </c>
      <c r="M8" s="19"/>
    </row>
    <row r="9" spans="1:13" x14ac:dyDescent="0.25">
      <c r="A9" s="76"/>
      <c r="B9" s="76"/>
      <c r="C9" s="11" t="s">
        <v>42</v>
      </c>
      <c r="D9" s="61"/>
      <c r="E9" s="60"/>
      <c r="F9" s="60"/>
      <c r="G9" s="10"/>
      <c r="H9" s="34"/>
      <c r="I9" s="17" t="e">
        <f t="shared" si="4"/>
        <v>#DIV/0!</v>
      </c>
      <c r="J9" s="18">
        <f t="shared" si="5"/>
        <v>0.320826</v>
      </c>
      <c r="K9" s="18">
        <f t="shared" si="6"/>
        <v>320.82600000000002</v>
      </c>
      <c r="L9" s="19">
        <f t="shared" si="3"/>
        <v>320.82600000000002</v>
      </c>
      <c r="M9" s="19"/>
    </row>
    <row r="10" spans="1:13" x14ac:dyDescent="0.25">
      <c r="A10" s="76"/>
      <c r="B10" s="76"/>
      <c r="C10" s="11" t="s">
        <v>42</v>
      </c>
      <c r="D10" s="61"/>
      <c r="E10" s="60"/>
      <c r="F10" s="60"/>
      <c r="G10" s="10"/>
      <c r="H10" s="34"/>
      <c r="I10" s="17" t="e">
        <f t="shared" si="4"/>
        <v>#DIV/0!</v>
      </c>
      <c r="J10" s="18">
        <f t="shared" si="5"/>
        <v>0.320826</v>
      </c>
      <c r="K10" s="18">
        <f t="shared" si="6"/>
        <v>320.82600000000002</v>
      </c>
      <c r="L10" s="19">
        <f t="shared" si="3"/>
        <v>320.82600000000002</v>
      </c>
      <c r="M10" s="19"/>
    </row>
    <row r="11" spans="1:13" x14ac:dyDescent="0.25">
      <c r="A11" s="76"/>
      <c r="B11" s="76"/>
      <c r="C11" s="11" t="s">
        <v>42</v>
      </c>
      <c r="D11" s="61"/>
      <c r="E11" s="60"/>
      <c r="F11" s="60"/>
      <c r="G11" s="10"/>
      <c r="H11" s="34"/>
      <c r="I11" s="17" t="e">
        <f t="shared" si="4"/>
        <v>#DIV/0!</v>
      </c>
      <c r="J11" s="18">
        <f t="shared" si="5"/>
        <v>0.320826</v>
      </c>
      <c r="K11" s="18">
        <f t="shared" si="6"/>
        <v>320.82600000000002</v>
      </c>
      <c r="L11" s="19">
        <f t="shared" si="3"/>
        <v>320.82600000000002</v>
      </c>
      <c r="M11" s="19"/>
    </row>
    <row r="12" spans="1:13" x14ac:dyDescent="0.25">
      <c r="A12" s="76"/>
      <c r="B12" s="76"/>
      <c r="C12" s="11" t="s">
        <v>42</v>
      </c>
      <c r="D12" s="61"/>
      <c r="E12" s="60"/>
      <c r="F12" s="60"/>
      <c r="G12" s="10"/>
      <c r="H12" s="34"/>
      <c r="I12" s="17" t="e">
        <f t="shared" si="4"/>
        <v>#DIV/0!</v>
      </c>
      <c r="J12" s="18">
        <f t="shared" si="5"/>
        <v>0.320826</v>
      </c>
      <c r="K12" s="18">
        <f t="shared" si="6"/>
        <v>320.82600000000002</v>
      </c>
      <c r="L12" s="19">
        <f t="shared" si="3"/>
        <v>320.82600000000002</v>
      </c>
      <c r="M12" s="19"/>
    </row>
    <row r="13" spans="1:13" x14ac:dyDescent="0.25">
      <c r="A13" s="76"/>
      <c r="B13" s="76"/>
      <c r="C13" s="11" t="s">
        <v>42</v>
      </c>
      <c r="D13" s="61"/>
      <c r="E13" s="60"/>
      <c r="F13" s="60"/>
      <c r="G13" s="10"/>
      <c r="H13" s="34"/>
      <c r="I13" s="17" t="e">
        <f t="shared" si="4"/>
        <v>#DIV/0!</v>
      </c>
      <c r="J13" s="18">
        <f t="shared" si="5"/>
        <v>0.320826</v>
      </c>
      <c r="K13" s="18">
        <f t="shared" si="6"/>
        <v>320.82600000000002</v>
      </c>
      <c r="L13" s="19">
        <f t="shared" si="3"/>
        <v>320.82600000000002</v>
      </c>
      <c r="M13" s="19"/>
    </row>
    <row r="14" spans="1:13" x14ac:dyDescent="0.25">
      <c r="A14" s="76"/>
      <c r="B14" s="76"/>
      <c r="C14" s="11" t="s">
        <v>42</v>
      </c>
      <c r="D14" s="61"/>
      <c r="E14" s="60"/>
      <c r="F14" s="60"/>
      <c r="G14" s="10"/>
      <c r="H14" s="34"/>
      <c r="I14" s="17" t="e">
        <f t="shared" si="4"/>
        <v>#DIV/0!</v>
      </c>
      <c r="J14" s="18">
        <f t="shared" si="5"/>
        <v>0.320826</v>
      </c>
      <c r="K14" s="18">
        <f t="shared" si="6"/>
        <v>320.82600000000002</v>
      </c>
      <c r="L14" s="19">
        <f t="shared" si="3"/>
        <v>320.82600000000002</v>
      </c>
      <c r="M14" s="19"/>
    </row>
    <row r="15" spans="1:13" x14ac:dyDescent="0.25">
      <c r="A15" s="76"/>
      <c r="B15" s="76"/>
      <c r="C15" s="11" t="s">
        <v>42</v>
      </c>
      <c r="D15" s="61"/>
      <c r="E15" s="60"/>
      <c r="F15" s="60"/>
      <c r="G15" s="10"/>
      <c r="H15" s="34"/>
      <c r="I15" s="17" t="e">
        <f t="shared" si="4"/>
        <v>#DIV/0!</v>
      </c>
      <c r="J15" s="18">
        <f t="shared" si="5"/>
        <v>0.320826</v>
      </c>
      <c r="K15" s="18">
        <f t="shared" si="6"/>
        <v>320.82600000000002</v>
      </c>
      <c r="L15" s="19">
        <f t="shared" si="3"/>
        <v>320.82600000000002</v>
      </c>
      <c r="M15" s="19"/>
    </row>
    <row r="16" spans="1:13" x14ac:dyDescent="0.25">
      <c r="A16" s="76"/>
      <c r="B16" s="76"/>
      <c r="C16" s="11" t="s">
        <v>42</v>
      </c>
      <c r="D16" s="61"/>
      <c r="E16" s="60"/>
      <c r="F16" s="60"/>
      <c r="G16" s="10"/>
      <c r="H16" s="34"/>
      <c r="I16" s="17" t="e">
        <f t="shared" si="4"/>
        <v>#DIV/0!</v>
      </c>
      <c r="J16" s="18">
        <f t="shared" si="5"/>
        <v>0.320826</v>
      </c>
      <c r="K16" s="18">
        <f t="shared" si="6"/>
        <v>320.82600000000002</v>
      </c>
      <c r="L16" s="19">
        <f t="shared" si="3"/>
        <v>320.82600000000002</v>
      </c>
      <c r="M16" s="19"/>
    </row>
    <row r="17" spans="1:13" x14ac:dyDescent="0.25">
      <c r="A17" s="76"/>
      <c r="B17" s="76"/>
      <c r="C17" s="11" t="s">
        <v>42</v>
      </c>
      <c r="D17" s="61"/>
      <c r="E17" s="60"/>
      <c r="F17" s="60"/>
      <c r="G17" s="10"/>
      <c r="H17" s="34"/>
      <c r="I17" s="17" t="e">
        <f t="shared" si="4"/>
        <v>#DIV/0!</v>
      </c>
      <c r="J17" s="18">
        <f t="shared" si="5"/>
        <v>0.320826</v>
      </c>
      <c r="K17" s="18">
        <f t="shared" si="6"/>
        <v>320.82600000000002</v>
      </c>
      <c r="L17" s="19">
        <f t="shared" si="3"/>
        <v>320.82600000000002</v>
      </c>
      <c r="M17" s="19"/>
    </row>
    <row r="18" spans="1:13" x14ac:dyDescent="0.25">
      <c r="A18" s="76"/>
      <c r="B18" s="76"/>
      <c r="C18" s="11" t="s">
        <v>42</v>
      </c>
      <c r="D18" s="61"/>
      <c r="E18" s="60"/>
      <c r="F18" s="60"/>
      <c r="G18" s="10"/>
      <c r="H18" s="34"/>
      <c r="I18" s="17" t="e">
        <f t="shared" si="4"/>
        <v>#DIV/0!</v>
      </c>
      <c r="J18" s="18">
        <f t="shared" si="5"/>
        <v>0.320826</v>
      </c>
      <c r="K18" s="18">
        <f t="shared" si="6"/>
        <v>320.82600000000002</v>
      </c>
      <c r="L18" s="19">
        <f t="shared" si="3"/>
        <v>320.82600000000002</v>
      </c>
      <c r="M18" s="19"/>
    </row>
    <row r="19" spans="1:13" x14ac:dyDescent="0.25">
      <c r="A19" s="76"/>
      <c r="B19" s="76"/>
      <c r="C19" s="11" t="s">
        <v>42</v>
      </c>
      <c r="D19" s="61"/>
      <c r="E19" s="60"/>
      <c r="F19" s="60"/>
      <c r="G19" s="10"/>
      <c r="H19" s="34"/>
      <c r="I19" s="17" t="e">
        <f t="shared" si="4"/>
        <v>#DIV/0!</v>
      </c>
      <c r="J19" s="18">
        <f t="shared" si="5"/>
        <v>0.320826</v>
      </c>
      <c r="K19" s="18">
        <f t="shared" si="6"/>
        <v>320.82600000000002</v>
      </c>
      <c r="L19" s="19">
        <f t="shared" si="3"/>
        <v>320.82600000000002</v>
      </c>
      <c r="M19" s="19"/>
    </row>
    <row r="20" spans="1:13" x14ac:dyDescent="0.25">
      <c r="A20" s="76"/>
      <c r="B20" s="76"/>
      <c r="C20" s="11" t="s">
        <v>42</v>
      </c>
      <c r="D20" s="61"/>
      <c r="E20" s="60"/>
      <c r="F20" s="60"/>
      <c r="G20" s="10"/>
      <c r="H20" s="34"/>
      <c r="I20" s="17" t="e">
        <f t="shared" ref="I20" si="7">(D20-J20)/D20</f>
        <v>#DIV/0!</v>
      </c>
      <c r="J20" s="18">
        <f t="shared" ref="J20" si="8">K20/1000</f>
        <v>0.320826</v>
      </c>
      <c r="K20" s="18">
        <f t="shared" ref="K20" si="9">M20+L20</f>
        <v>320.82600000000002</v>
      </c>
      <c r="L20" s="19">
        <f t="shared" si="3"/>
        <v>320.82600000000002</v>
      </c>
      <c r="M20" s="19"/>
    </row>
    <row r="22" spans="1:13" x14ac:dyDescent="0.25">
      <c r="B22" s="1" t="s">
        <v>11</v>
      </c>
      <c r="C22" s="24" t="s">
        <v>105</v>
      </c>
      <c r="G22" s="24" t="s">
        <v>111</v>
      </c>
    </row>
    <row r="23" spans="1:13" x14ac:dyDescent="0.25">
      <c r="B23" s="27" t="s">
        <v>68</v>
      </c>
      <c r="C23" s="77">
        <f>D23*5</f>
        <v>149.63850000000002</v>
      </c>
      <c r="D23" s="85">
        <f>F23+G23</f>
        <v>29.927700000000002</v>
      </c>
      <c r="E23" s="24" t="s">
        <v>69</v>
      </c>
      <c r="F23" s="85">
        <v>28.09</v>
      </c>
      <c r="G23">
        <v>1.8376999999999999</v>
      </c>
    </row>
    <row r="24" spans="1:13" x14ac:dyDescent="0.25">
      <c r="B24" s="27" t="s">
        <v>19</v>
      </c>
      <c r="C24" s="77">
        <f>D24*1.25</f>
        <v>9.9375</v>
      </c>
      <c r="D24" s="85">
        <v>7.95</v>
      </c>
      <c r="E24" s="24" t="s">
        <v>19</v>
      </c>
    </row>
    <row r="25" spans="1:13" x14ac:dyDescent="0.25">
      <c r="B25" s="27" t="s">
        <v>13</v>
      </c>
      <c r="C25" s="77">
        <v>60</v>
      </c>
      <c r="D25" s="85"/>
    </row>
    <row r="26" spans="1:13" x14ac:dyDescent="0.25">
      <c r="B26" s="27" t="s">
        <v>14</v>
      </c>
      <c r="C26" s="77">
        <f>D26*1.25</f>
        <v>81.25</v>
      </c>
      <c r="D26" s="85">
        <v>65</v>
      </c>
      <c r="E26" s="24" t="s">
        <v>70</v>
      </c>
    </row>
    <row r="27" spans="1:13" x14ac:dyDescent="0.25">
      <c r="B27" s="27" t="s">
        <v>15</v>
      </c>
      <c r="C27" s="77">
        <v>20</v>
      </c>
      <c r="E27" s="54"/>
      <c r="F27" s="54"/>
    </row>
    <row r="28" spans="1:13" x14ac:dyDescent="0.25">
      <c r="B28" s="10"/>
      <c r="C28" s="81">
        <f>SUM(C23:C27)</f>
        <v>320.82600000000002</v>
      </c>
      <c r="D28" s="82" t="s">
        <v>106</v>
      </c>
      <c r="E28" s="53"/>
      <c r="F28" s="53"/>
    </row>
    <row r="29" spans="1:13" x14ac:dyDescent="0.25">
      <c r="E29" s="53"/>
      <c r="F29" s="53"/>
      <c r="G29" s="52"/>
      <c r="H29" s="53"/>
      <c r="I29" s="53"/>
    </row>
    <row r="30" spans="1:13" x14ac:dyDescent="0.25">
      <c r="E30" s="53"/>
      <c r="F30" s="53"/>
      <c r="G30" s="52"/>
      <c r="H30" s="53"/>
      <c r="I30" s="53"/>
    </row>
    <row r="31" spans="1:13" x14ac:dyDescent="0.25">
      <c r="I31" s="58"/>
      <c r="J31" s="59"/>
    </row>
    <row r="32" spans="1:13" x14ac:dyDescent="0.25">
      <c r="I32" s="58"/>
      <c r="J32" s="59"/>
    </row>
    <row r="34" spans="1:13" s="26" customFormat="1" x14ac:dyDescent="0.25">
      <c r="A34"/>
      <c r="B34"/>
      <c r="C34" s="24"/>
      <c r="D34" s="24"/>
      <c r="E34" s="24"/>
      <c r="F34" s="24"/>
      <c r="G34"/>
      <c r="H34"/>
      <c r="I34" s="25"/>
      <c r="L34"/>
      <c r="M34"/>
    </row>
    <row r="35" spans="1:13" s="26" customFormat="1" x14ac:dyDescent="0.25">
      <c r="A35"/>
      <c r="B35"/>
      <c r="C35" s="24"/>
      <c r="D35" s="24"/>
      <c r="E35" s="24"/>
      <c r="F35" s="24"/>
      <c r="G35" s="55"/>
      <c r="H35" s="54"/>
      <c r="I35" s="56"/>
      <c r="L35"/>
      <c r="M35"/>
    </row>
    <row r="36" spans="1:13" s="26" customFormat="1" x14ac:dyDescent="0.25">
      <c r="A36"/>
      <c r="B36"/>
      <c r="C36" s="24"/>
      <c r="D36" s="24"/>
      <c r="E36" s="24"/>
      <c r="F36" s="24"/>
      <c r="G36" s="52"/>
      <c r="H36" s="53"/>
      <c r="I36" s="53"/>
      <c r="L36"/>
      <c r="M36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M30"/>
  <sheetViews>
    <sheetView workbookViewId="0">
      <selection activeCell="C22" sqref="C22:G29"/>
    </sheetView>
  </sheetViews>
  <sheetFormatPr defaultRowHeight="15" x14ac:dyDescent="0.25"/>
  <cols>
    <col min="1" max="1" width="10.5703125" customWidth="1"/>
    <col min="2" max="2" width="30.7109375" bestFit="1" customWidth="1"/>
    <col min="3" max="3" width="9" style="24" customWidth="1"/>
    <col min="4" max="4" width="11.7109375" style="24" customWidth="1"/>
    <col min="5" max="5" width="16" customWidth="1"/>
    <col min="6" max="6" width="18.7109375" customWidth="1"/>
    <col min="9" max="9" width="9.140625" style="25"/>
    <col min="10" max="10" width="13.42578125" style="26" customWidth="1"/>
    <col min="11" max="11" width="12.28515625" style="26" bestFit="1" customWidth="1"/>
    <col min="12" max="12" width="20.85546875" style="31" customWidth="1"/>
    <col min="13" max="13" width="23.85546875" bestFit="1" customWidth="1"/>
  </cols>
  <sheetData>
    <row r="2" spans="1:13" x14ac:dyDescent="0.25">
      <c r="A2" s="1"/>
      <c r="B2" s="1"/>
      <c r="C2" s="2"/>
      <c r="D2" s="2"/>
      <c r="E2" s="1"/>
      <c r="F2" s="1"/>
      <c r="G2" s="1"/>
      <c r="H2" s="1"/>
      <c r="I2" s="3"/>
      <c r="J2" s="4"/>
      <c r="K2" s="4"/>
      <c r="L2" s="28"/>
    </row>
    <row r="3" spans="1:13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32</v>
      </c>
      <c r="F3" s="5" t="s">
        <v>17</v>
      </c>
      <c r="G3" s="5" t="s">
        <v>4</v>
      </c>
      <c r="H3" s="32"/>
      <c r="I3" s="7" t="s">
        <v>6</v>
      </c>
      <c r="J3" s="8" t="s">
        <v>41</v>
      </c>
      <c r="K3" s="8" t="s">
        <v>8</v>
      </c>
      <c r="L3" s="29" t="s">
        <v>9</v>
      </c>
      <c r="M3" s="9" t="s">
        <v>10</v>
      </c>
    </row>
    <row r="4" spans="1:13" x14ac:dyDescent="0.25">
      <c r="A4" s="76"/>
      <c r="B4" s="76"/>
      <c r="C4" s="11" t="s">
        <v>42</v>
      </c>
      <c r="D4" s="11"/>
      <c r="E4" s="10"/>
      <c r="F4" s="10"/>
      <c r="G4" s="10"/>
      <c r="H4" s="34"/>
      <c r="I4" s="17" t="e">
        <f t="shared" ref="I4:I12" si="0">(D4-J4)/D4</f>
        <v>#DIV/0!</v>
      </c>
      <c r="J4" s="18">
        <f t="shared" ref="J4:J12" si="1">K4/1000</f>
        <v>0.361475675</v>
      </c>
      <c r="K4" s="18">
        <f t="shared" ref="K4:K12" si="2">M4+L4</f>
        <v>361.47567500000002</v>
      </c>
      <c r="L4" s="30">
        <f>$C$29</f>
        <v>361.47567500000002</v>
      </c>
      <c r="M4" s="19"/>
    </row>
    <row r="5" spans="1:13" x14ac:dyDescent="0.25">
      <c r="A5" s="76"/>
      <c r="B5" s="76"/>
      <c r="C5" s="11" t="s">
        <v>42</v>
      </c>
      <c r="D5" s="11"/>
      <c r="E5" s="10"/>
      <c r="F5" s="10"/>
      <c r="G5" s="10"/>
      <c r="H5" s="34"/>
      <c r="I5" s="17" t="e">
        <f t="shared" si="0"/>
        <v>#DIV/0!</v>
      </c>
      <c r="J5" s="18">
        <f t="shared" si="1"/>
        <v>0.361475675</v>
      </c>
      <c r="K5" s="18">
        <f t="shared" si="2"/>
        <v>361.47567500000002</v>
      </c>
      <c r="L5" s="30">
        <f t="shared" ref="L5:L20" si="3">$C$29</f>
        <v>361.47567500000002</v>
      </c>
      <c r="M5" s="19"/>
    </row>
    <row r="6" spans="1:13" x14ac:dyDescent="0.25">
      <c r="A6" s="76"/>
      <c r="B6" s="76"/>
      <c r="C6" s="11" t="s">
        <v>42</v>
      </c>
      <c r="D6" s="11"/>
      <c r="E6" s="10"/>
      <c r="F6" s="10"/>
      <c r="G6" s="10"/>
      <c r="H6" s="34"/>
      <c r="I6" s="17" t="e">
        <f t="shared" si="0"/>
        <v>#DIV/0!</v>
      </c>
      <c r="J6" s="18">
        <f t="shared" si="1"/>
        <v>0.361475675</v>
      </c>
      <c r="K6" s="18">
        <f t="shared" si="2"/>
        <v>361.47567500000002</v>
      </c>
      <c r="L6" s="30">
        <f t="shared" si="3"/>
        <v>361.47567500000002</v>
      </c>
      <c r="M6" s="19"/>
    </row>
    <row r="7" spans="1:13" x14ac:dyDescent="0.25">
      <c r="A7" s="76"/>
      <c r="B7" s="76"/>
      <c r="C7" s="11" t="s">
        <v>42</v>
      </c>
      <c r="D7" s="11"/>
      <c r="E7" s="10"/>
      <c r="F7" s="10"/>
      <c r="G7" s="10"/>
      <c r="H7" s="34"/>
      <c r="I7" s="17" t="e">
        <f t="shared" si="0"/>
        <v>#DIV/0!</v>
      </c>
      <c r="J7" s="18">
        <f t="shared" si="1"/>
        <v>0.361475675</v>
      </c>
      <c r="K7" s="18">
        <f t="shared" si="2"/>
        <v>361.47567500000002</v>
      </c>
      <c r="L7" s="30">
        <f t="shared" si="3"/>
        <v>361.47567500000002</v>
      </c>
      <c r="M7" s="19"/>
    </row>
    <row r="8" spans="1:13" x14ac:dyDescent="0.25">
      <c r="A8" s="76"/>
      <c r="B8" s="76"/>
      <c r="C8" s="11" t="s">
        <v>42</v>
      </c>
      <c r="D8" s="11"/>
      <c r="E8" s="10"/>
      <c r="F8" s="10"/>
      <c r="G8" s="10"/>
      <c r="H8" s="34"/>
      <c r="I8" s="17" t="e">
        <f t="shared" si="0"/>
        <v>#DIV/0!</v>
      </c>
      <c r="J8" s="18">
        <f t="shared" si="1"/>
        <v>0.361475675</v>
      </c>
      <c r="K8" s="18">
        <f t="shared" si="2"/>
        <v>361.47567500000002</v>
      </c>
      <c r="L8" s="30">
        <f t="shared" si="3"/>
        <v>361.47567500000002</v>
      </c>
      <c r="M8" s="19"/>
    </row>
    <row r="9" spans="1:13" x14ac:dyDescent="0.25">
      <c r="A9" s="76"/>
      <c r="B9" s="76"/>
      <c r="C9" s="11" t="s">
        <v>42</v>
      </c>
      <c r="D9" s="11"/>
      <c r="E9" s="10"/>
      <c r="F9" s="10"/>
      <c r="G9" s="10"/>
      <c r="H9" s="34"/>
      <c r="I9" s="17" t="e">
        <f t="shared" si="0"/>
        <v>#DIV/0!</v>
      </c>
      <c r="J9" s="18">
        <f t="shared" si="1"/>
        <v>0.361475675</v>
      </c>
      <c r="K9" s="18">
        <f t="shared" si="2"/>
        <v>361.47567500000002</v>
      </c>
      <c r="L9" s="30">
        <f t="shared" si="3"/>
        <v>361.47567500000002</v>
      </c>
      <c r="M9" s="19"/>
    </row>
    <row r="10" spans="1:13" x14ac:dyDescent="0.25">
      <c r="A10" s="76"/>
      <c r="B10" s="76"/>
      <c r="C10" s="11" t="s">
        <v>42</v>
      </c>
      <c r="D10" s="11"/>
      <c r="E10" s="10"/>
      <c r="F10" s="10"/>
      <c r="G10" s="10"/>
      <c r="H10" s="34"/>
      <c r="I10" s="17" t="e">
        <f t="shared" si="0"/>
        <v>#DIV/0!</v>
      </c>
      <c r="J10" s="18">
        <f t="shared" si="1"/>
        <v>0.361475675</v>
      </c>
      <c r="K10" s="18">
        <f t="shared" si="2"/>
        <v>361.47567500000002</v>
      </c>
      <c r="L10" s="30">
        <f t="shared" si="3"/>
        <v>361.47567500000002</v>
      </c>
      <c r="M10" s="19"/>
    </row>
    <row r="11" spans="1:13" x14ac:dyDescent="0.25">
      <c r="A11" s="76"/>
      <c r="B11" s="76"/>
      <c r="C11" s="11" t="s">
        <v>42</v>
      </c>
      <c r="D11" s="11"/>
      <c r="E11" s="10"/>
      <c r="F11" s="10"/>
      <c r="G11" s="10"/>
      <c r="H11" s="34"/>
      <c r="I11" s="17" t="e">
        <f t="shared" si="0"/>
        <v>#DIV/0!</v>
      </c>
      <c r="J11" s="18">
        <f t="shared" si="1"/>
        <v>0.361475675</v>
      </c>
      <c r="K11" s="18">
        <f t="shared" si="2"/>
        <v>361.47567500000002</v>
      </c>
      <c r="L11" s="30">
        <f t="shared" si="3"/>
        <v>361.47567500000002</v>
      </c>
      <c r="M11" s="19"/>
    </row>
    <row r="12" spans="1:13" x14ac:dyDescent="0.25">
      <c r="A12" s="76"/>
      <c r="B12" s="76"/>
      <c r="C12" s="11" t="s">
        <v>42</v>
      </c>
      <c r="D12" s="11"/>
      <c r="E12" s="10"/>
      <c r="F12" s="10"/>
      <c r="G12" s="10"/>
      <c r="H12" s="34"/>
      <c r="I12" s="17" t="e">
        <f t="shared" si="0"/>
        <v>#DIV/0!</v>
      </c>
      <c r="J12" s="18">
        <f t="shared" si="1"/>
        <v>0.361475675</v>
      </c>
      <c r="K12" s="18">
        <f t="shared" si="2"/>
        <v>361.47567500000002</v>
      </c>
      <c r="L12" s="30">
        <f t="shared" si="3"/>
        <v>361.47567500000002</v>
      </c>
      <c r="M12" s="19"/>
    </row>
    <row r="13" spans="1:13" x14ac:dyDescent="0.25">
      <c r="A13" s="76"/>
      <c r="B13" s="76"/>
      <c r="C13" s="11" t="s">
        <v>42</v>
      </c>
      <c r="D13" s="11"/>
      <c r="E13" s="10"/>
      <c r="F13" s="10"/>
      <c r="G13" s="10"/>
      <c r="H13" s="34"/>
      <c r="I13" s="17" t="e">
        <f t="shared" ref="I13:I20" si="4">(D13-J13)/D13</f>
        <v>#DIV/0!</v>
      </c>
      <c r="J13" s="18">
        <f t="shared" ref="J13:J20" si="5">K13/1000</f>
        <v>0.361475675</v>
      </c>
      <c r="K13" s="18">
        <f t="shared" ref="K13:K20" si="6">M13+L13</f>
        <v>361.47567500000002</v>
      </c>
      <c r="L13" s="30">
        <f t="shared" si="3"/>
        <v>361.47567500000002</v>
      </c>
      <c r="M13" s="19"/>
    </row>
    <row r="14" spans="1:13" x14ac:dyDescent="0.25">
      <c r="A14" s="76"/>
      <c r="B14" s="76"/>
      <c r="C14" s="11" t="s">
        <v>42</v>
      </c>
      <c r="D14" s="11"/>
      <c r="E14" s="10"/>
      <c r="F14" s="10"/>
      <c r="G14" s="10"/>
      <c r="H14" s="34"/>
      <c r="I14" s="17" t="e">
        <f t="shared" si="4"/>
        <v>#DIV/0!</v>
      </c>
      <c r="J14" s="18">
        <f t="shared" si="5"/>
        <v>0.361475675</v>
      </c>
      <c r="K14" s="18">
        <f t="shared" si="6"/>
        <v>361.47567500000002</v>
      </c>
      <c r="L14" s="30">
        <f t="shared" si="3"/>
        <v>361.47567500000002</v>
      </c>
      <c r="M14" s="19"/>
    </row>
    <row r="15" spans="1:13" x14ac:dyDescent="0.25">
      <c r="A15" s="76"/>
      <c r="B15" s="76"/>
      <c r="C15" s="11" t="s">
        <v>42</v>
      </c>
      <c r="D15" s="11"/>
      <c r="E15" s="10"/>
      <c r="F15" s="10"/>
      <c r="G15" s="10"/>
      <c r="H15" s="34"/>
      <c r="I15" s="17" t="e">
        <f t="shared" si="4"/>
        <v>#DIV/0!</v>
      </c>
      <c r="J15" s="18">
        <f t="shared" si="5"/>
        <v>0.361475675</v>
      </c>
      <c r="K15" s="18">
        <f t="shared" si="6"/>
        <v>361.47567500000002</v>
      </c>
      <c r="L15" s="30">
        <f t="shared" si="3"/>
        <v>361.47567500000002</v>
      </c>
      <c r="M15" s="19"/>
    </row>
    <row r="16" spans="1:13" x14ac:dyDescent="0.25">
      <c r="A16" s="76"/>
      <c r="B16" s="76"/>
      <c r="C16" s="11" t="s">
        <v>42</v>
      </c>
      <c r="D16" s="11"/>
      <c r="E16" s="10"/>
      <c r="F16" s="10"/>
      <c r="G16" s="10"/>
      <c r="H16" s="34"/>
      <c r="I16" s="17" t="e">
        <f t="shared" si="4"/>
        <v>#DIV/0!</v>
      </c>
      <c r="J16" s="18">
        <f t="shared" si="5"/>
        <v>0.361475675</v>
      </c>
      <c r="K16" s="18">
        <f t="shared" si="6"/>
        <v>361.47567500000002</v>
      </c>
      <c r="L16" s="30">
        <f t="shared" si="3"/>
        <v>361.47567500000002</v>
      </c>
      <c r="M16" s="19"/>
    </row>
    <row r="17" spans="1:13" x14ac:dyDescent="0.25">
      <c r="A17" s="76"/>
      <c r="B17" s="76"/>
      <c r="C17" s="11" t="s">
        <v>42</v>
      </c>
      <c r="D17" s="11"/>
      <c r="E17" s="10"/>
      <c r="F17" s="10"/>
      <c r="G17" s="10"/>
      <c r="H17" s="34"/>
      <c r="I17" s="17" t="e">
        <f t="shared" si="4"/>
        <v>#DIV/0!</v>
      </c>
      <c r="J17" s="18">
        <f t="shared" si="5"/>
        <v>0.361475675</v>
      </c>
      <c r="K17" s="18">
        <f t="shared" si="6"/>
        <v>361.47567500000002</v>
      </c>
      <c r="L17" s="30">
        <f t="shared" si="3"/>
        <v>361.47567500000002</v>
      </c>
      <c r="M17" s="19"/>
    </row>
    <row r="18" spans="1:13" x14ac:dyDescent="0.25">
      <c r="A18" s="76"/>
      <c r="B18" s="76"/>
      <c r="C18" s="11" t="s">
        <v>42</v>
      </c>
      <c r="D18" s="11"/>
      <c r="E18" s="10"/>
      <c r="F18" s="10"/>
      <c r="G18" s="10"/>
      <c r="H18" s="34"/>
      <c r="I18" s="17" t="e">
        <f t="shared" si="4"/>
        <v>#DIV/0!</v>
      </c>
      <c r="J18" s="18">
        <f t="shared" si="5"/>
        <v>0.361475675</v>
      </c>
      <c r="K18" s="18">
        <f t="shared" si="6"/>
        <v>361.47567500000002</v>
      </c>
      <c r="L18" s="30">
        <f t="shared" si="3"/>
        <v>361.47567500000002</v>
      </c>
      <c r="M18" s="19"/>
    </row>
    <row r="19" spans="1:13" x14ac:dyDescent="0.25">
      <c r="A19" s="76"/>
      <c r="B19" s="76"/>
      <c r="C19" s="11" t="s">
        <v>42</v>
      </c>
      <c r="D19" s="11"/>
      <c r="E19" s="10"/>
      <c r="F19" s="10"/>
      <c r="G19" s="10"/>
      <c r="H19" s="34"/>
      <c r="I19" s="17" t="e">
        <f t="shared" si="4"/>
        <v>#DIV/0!</v>
      </c>
      <c r="J19" s="18">
        <f t="shared" si="5"/>
        <v>0.361475675</v>
      </c>
      <c r="K19" s="18">
        <f t="shared" si="6"/>
        <v>361.47567500000002</v>
      </c>
      <c r="L19" s="30">
        <f t="shared" si="3"/>
        <v>361.47567500000002</v>
      </c>
      <c r="M19" s="19"/>
    </row>
    <row r="20" spans="1:13" x14ac:dyDescent="0.25">
      <c r="A20" s="76"/>
      <c r="B20" s="76"/>
      <c r="C20" s="11" t="s">
        <v>42</v>
      </c>
      <c r="D20" s="11"/>
      <c r="E20" s="10"/>
      <c r="F20" s="10"/>
      <c r="G20" s="10"/>
      <c r="H20" s="34"/>
      <c r="I20" s="17" t="e">
        <f t="shared" si="4"/>
        <v>#DIV/0!</v>
      </c>
      <c r="J20" s="18">
        <f t="shared" si="5"/>
        <v>0.361475675</v>
      </c>
      <c r="K20" s="18">
        <f t="shared" si="6"/>
        <v>361.47567500000002</v>
      </c>
      <c r="L20" s="30">
        <f t="shared" si="3"/>
        <v>361.47567500000002</v>
      </c>
      <c r="M20" s="19"/>
    </row>
    <row r="22" spans="1:13" x14ac:dyDescent="0.25">
      <c r="B22" s="35" t="s">
        <v>104</v>
      </c>
      <c r="C22" s="24" t="s">
        <v>107</v>
      </c>
      <c r="G22" s="24" t="s">
        <v>111</v>
      </c>
    </row>
    <row r="23" spans="1:13" x14ac:dyDescent="0.25">
      <c r="B23" s="27" t="s">
        <v>19</v>
      </c>
      <c r="C23" s="62">
        <f>D23/640</f>
        <v>1.2421875000000001E-2</v>
      </c>
      <c r="D23" s="19">
        <v>7.95</v>
      </c>
      <c r="E23" t="s">
        <v>19</v>
      </c>
    </row>
    <row r="24" spans="1:13" x14ac:dyDescent="0.25">
      <c r="B24" s="27" t="s">
        <v>43</v>
      </c>
      <c r="C24" s="62">
        <f>D24/20</f>
        <v>1.3122200000000001E-2</v>
      </c>
      <c r="D24" s="86">
        <f>F24+G24</f>
        <v>0.26244400000000001</v>
      </c>
      <c r="E24" t="s">
        <v>38</v>
      </c>
      <c r="F24" s="19">
        <v>0.25719999999999998</v>
      </c>
      <c r="G24">
        <v>5.2439999999999995E-3</v>
      </c>
    </row>
    <row r="25" spans="1:13" x14ac:dyDescent="0.25">
      <c r="B25" s="27" t="s">
        <v>44</v>
      </c>
      <c r="C25" s="62">
        <f>D25/20</f>
        <v>0.1821816</v>
      </c>
      <c r="D25" s="86">
        <f>F25+G25</f>
        <v>3.6436319999999998</v>
      </c>
      <c r="E25" t="s">
        <v>45</v>
      </c>
      <c r="F25" s="19">
        <v>3.4169999999999998</v>
      </c>
      <c r="G25">
        <v>0.22663199999999997</v>
      </c>
    </row>
    <row r="26" spans="1:13" x14ac:dyDescent="0.25">
      <c r="B26" s="27"/>
      <c r="C26" s="26"/>
      <c r="D26"/>
    </row>
    <row r="27" spans="1:13" x14ac:dyDescent="0.25">
      <c r="B27" s="27" t="s">
        <v>13</v>
      </c>
      <c r="C27" s="62">
        <f>D27/1000</f>
        <v>0.06</v>
      </c>
      <c r="D27" s="19">
        <v>60</v>
      </c>
    </row>
    <row r="28" spans="1:13" x14ac:dyDescent="0.25">
      <c r="B28" s="27" t="s">
        <v>14</v>
      </c>
      <c r="C28" s="62">
        <f>D28/640</f>
        <v>9.375E-2</v>
      </c>
      <c r="D28" s="19">
        <v>60</v>
      </c>
      <c r="E28" t="s">
        <v>23</v>
      </c>
    </row>
    <row r="29" spans="1:13" x14ac:dyDescent="0.25">
      <c r="B29" s="27"/>
      <c r="C29" s="78">
        <f>SUM(C23:C28)*1000</f>
        <v>361.47567500000002</v>
      </c>
      <c r="D29" s="79" t="s">
        <v>106</v>
      </c>
    </row>
    <row r="30" spans="1:13" x14ac:dyDescent="0.25">
      <c r="C30" s="4"/>
      <c r="D30"/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2:N30"/>
  <sheetViews>
    <sheetView workbookViewId="0">
      <selection activeCell="C23" sqref="C23:G30"/>
    </sheetView>
  </sheetViews>
  <sheetFormatPr defaultRowHeight="15" x14ac:dyDescent="0.25"/>
  <cols>
    <col min="1" max="1" width="13.7109375" bestFit="1" customWidth="1"/>
    <col min="2" max="2" width="45.28515625" customWidth="1"/>
    <col min="3" max="3" width="9" style="24" customWidth="1"/>
    <col min="4" max="4" width="11.7109375" style="24" customWidth="1"/>
    <col min="5" max="5" width="9.28515625" customWidth="1"/>
    <col min="6" max="6" width="9.7109375" customWidth="1"/>
    <col min="8" max="8" width="9.140625" style="25"/>
    <col min="9" max="9" width="19.140625" style="26" bestFit="1" customWidth="1"/>
    <col min="10" max="10" width="8.5703125" style="26" bestFit="1" customWidth="1"/>
    <col min="11" max="11" width="11.85546875" style="31" bestFit="1" customWidth="1"/>
    <col min="12" max="12" width="23.85546875" bestFit="1" customWidth="1"/>
    <col min="14" max="14" width="9.5703125" bestFit="1" customWidth="1"/>
  </cols>
  <sheetData>
    <row r="2" spans="1:14" x14ac:dyDescent="0.25">
      <c r="A2" s="1"/>
      <c r="B2" s="1"/>
      <c r="C2" s="2"/>
      <c r="D2" s="2"/>
      <c r="E2" s="1"/>
      <c r="F2" s="1"/>
      <c r="G2" s="1"/>
      <c r="H2" s="3"/>
      <c r="I2" s="4"/>
      <c r="J2" s="4"/>
      <c r="K2" s="28"/>
    </row>
    <row r="3" spans="1:14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32</v>
      </c>
      <c r="F3" s="5" t="s">
        <v>17</v>
      </c>
      <c r="G3" s="32"/>
      <c r="H3" s="7" t="s">
        <v>6</v>
      </c>
      <c r="I3" s="8" t="s">
        <v>33</v>
      </c>
      <c r="J3" s="8" t="s">
        <v>71</v>
      </c>
      <c r="K3" s="29" t="s">
        <v>108</v>
      </c>
      <c r="L3" s="9" t="s">
        <v>10</v>
      </c>
    </row>
    <row r="4" spans="1:14" x14ac:dyDescent="0.25">
      <c r="A4" s="10"/>
      <c r="B4" s="10"/>
      <c r="C4" s="11" t="s">
        <v>34</v>
      </c>
      <c r="D4" s="12"/>
      <c r="E4" s="10"/>
      <c r="F4" s="10"/>
      <c r="G4" s="34"/>
      <c r="H4" s="17" t="e">
        <f t="shared" ref="H4:H13" si="0">(D4-I4)/D4</f>
        <v>#DIV/0!</v>
      </c>
      <c r="I4" s="18">
        <f t="shared" ref="I4:I13" si="1">J4+K4</f>
        <v>3.0367223999999999</v>
      </c>
      <c r="J4" s="18">
        <f t="shared" ref="J4:J13" si="2">L4/100</f>
        <v>0</v>
      </c>
      <c r="K4" s="30">
        <f>$C$30</f>
        <v>3.0367223999999999</v>
      </c>
      <c r="L4" s="19"/>
      <c r="N4" s="48"/>
    </row>
    <row r="5" spans="1:14" x14ac:dyDescent="0.25">
      <c r="A5" s="10"/>
      <c r="B5" s="10"/>
      <c r="C5" s="11" t="s">
        <v>34</v>
      </c>
      <c r="D5" s="12"/>
      <c r="E5" s="10"/>
      <c r="F5" s="10"/>
      <c r="G5" s="34"/>
      <c r="H5" s="17" t="e">
        <f t="shared" si="0"/>
        <v>#DIV/0!</v>
      </c>
      <c r="I5" s="18">
        <f t="shared" si="1"/>
        <v>3.0367223999999999</v>
      </c>
      <c r="J5" s="18">
        <f t="shared" si="2"/>
        <v>0</v>
      </c>
      <c r="K5" s="30">
        <f t="shared" ref="K5:K20" si="3">$C$30</f>
        <v>3.0367223999999999</v>
      </c>
      <c r="L5" s="19"/>
      <c r="N5" s="48"/>
    </row>
    <row r="6" spans="1:14" x14ac:dyDescent="0.25">
      <c r="A6" s="10"/>
      <c r="B6" s="10"/>
      <c r="C6" s="11" t="s">
        <v>34</v>
      </c>
      <c r="D6" s="12"/>
      <c r="E6" s="10"/>
      <c r="F6" s="10"/>
      <c r="G6" s="34"/>
      <c r="H6" s="17" t="e">
        <f t="shared" si="0"/>
        <v>#DIV/0!</v>
      </c>
      <c r="I6" s="18">
        <f t="shared" si="1"/>
        <v>3.0367223999999999</v>
      </c>
      <c r="J6" s="18">
        <f t="shared" si="2"/>
        <v>0</v>
      </c>
      <c r="K6" s="30">
        <f t="shared" si="3"/>
        <v>3.0367223999999999</v>
      </c>
      <c r="L6" s="19"/>
      <c r="N6" s="48"/>
    </row>
    <row r="7" spans="1:14" x14ac:dyDescent="0.25">
      <c r="A7" s="10"/>
      <c r="B7" s="10"/>
      <c r="C7" s="11" t="s">
        <v>34</v>
      </c>
      <c r="D7" s="12"/>
      <c r="E7" s="10"/>
      <c r="F7" s="10"/>
      <c r="G7" s="34"/>
      <c r="H7" s="17" t="e">
        <f t="shared" si="0"/>
        <v>#DIV/0!</v>
      </c>
      <c r="I7" s="18">
        <f t="shared" si="1"/>
        <v>3.0367223999999999</v>
      </c>
      <c r="J7" s="18">
        <f t="shared" si="2"/>
        <v>0</v>
      </c>
      <c r="K7" s="30">
        <f t="shared" si="3"/>
        <v>3.0367223999999999</v>
      </c>
      <c r="L7" s="19"/>
      <c r="N7" s="49"/>
    </row>
    <row r="8" spans="1:14" x14ac:dyDescent="0.25">
      <c r="A8" s="10"/>
      <c r="B8" s="10"/>
      <c r="C8" s="11" t="s">
        <v>34</v>
      </c>
      <c r="D8" s="12"/>
      <c r="E8" s="10"/>
      <c r="F8" s="10"/>
      <c r="G8" s="34"/>
      <c r="H8" s="17" t="e">
        <f t="shared" si="0"/>
        <v>#DIV/0!</v>
      </c>
      <c r="I8" s="18">
        <f t="shared" si="1"/>
        <v>3.0367223999999999</v>
      </c>
      <c r="J8" s="18">
        <f t="shared" si="2"/>
        <v>0</v>
      </c>
      <c r="K8" s="30">
        <f t="shared" si="3"/>
        <v>3.0367223999999999</v>
      </c>
      <c r="L8" s="19"/>
    </row>
    <row r="9" spans="1:14" x14ac:dyDescent="0.25">
      <c r="A9" s="10"/>
      <c r="B9" s="10"/>
      <c r="C9" s="11" t="s">
        <v>34</v>
      </c>
      <c r="D9" s="12"/>
      <c r="E9" s="10"/>
      <c r="F9" s="10"/>
      <c r="G9" s="34"/>
      <c r="H9" s="17" t="e">
        <f t="shared" si="0"/>
        <v>#DIV/0!</v>
      </c>
      <c r="I9" s="18">
        <f t="shared" si="1"/>
        <v>3.0367223999999999</v>
      </c>
      <c r="J9" s="18">
        <f t="shared" si="2"/>
        <v>0</v>
      </c>
      <c r="K9" s="30">
        <f t="shared" si="3"/>
        <v>3.0367223999999999</v>
      </c>
      <c r="L9" s="19"/>
    </row>
    <row r="10" spans="1:14" x14ac:dyDescent="0.25">
      <c r="A10" s="10"/>
      <c r="B10" s="10"/>
      <c r="C10" s="11" t="s">
        <v>34</v>
      </c>
      <c r="D10" s="12"/>
      <c r="E10" s="10"/>
      <c r="F10" s="10"/>
      <c r="G10" s="34"/>
      <c r="H10" s="17" t="e">
        <f t="shared" si="0"/>
        <v>#DIV/0!</v>
      </c>
      <c r="I10" s="18">
        <f t="shared" si="1"/>
        <v>3.0367223999999999</v>
      </c>
      <c r="J10" s="18">
        <f t="shared" si="2"/>
        <v>0</v>
      </c>
      <c r="K10" s="30">
        <f t="shared" si="3"/>
        <v>3.0367223999999999</v>
      </c>
      <c r="L10" s="19"/>
    </row>
    <row r="11" spans="1:14" x14ac:dyDescent="0.25">
      <c r="A11" s="10"/>
      <c r="B11" s="10"/>
      <c r="C11" s="11" t="s">
        <v>34</v>
      </c>
      <c r="D11" s="12"/>
      <c r="E11" s="10"/>
      <c r="F11" s="10"/>
      <c r="G11" s="34"/>
      <c r="H11" s="17" t="e">
        <f t="shared" si="0"/>
        <v>#DIV/0!</v>
      </c>
      <c r="I11" s="18">
        <f t="shared" si="1"/>
        <v>3.0367223999999999</v>
      </c>
      <c r="J11" s="18">
        <f t="shared" si="2"/>
        <v>0</v>
      </c>
      <c r="K11" s="30">
        <f t="shared" si="3"/>
        <v>3.0367223999999999</v>
      </c>
      <c r="L11" s="19"/>
    </row>
    <row r="12" spans="1:14" x14ac:dyDescent="0.25">
      <c r="A12" s="10"/>
      <c r="B12" s="10"/>
      <c r="C12" s="11" t="s">
        <v>34</v>
      </c>
      <c r="D12" s="12"/>
      <c r="E12" s="10"/>
      <c r="F12" s="10"/>
      <c r="G12" s="34"/>
      <c r="H12" s="17" t="e">
        <f t="shared" si="0"/>
        <v>#DIV/0!</v>
      </c>
      <c r="I12" s="18">
        <f t="shared" si="1"/>
        <v>3.0367223999999999</v>
      </c>
      <c r="J12" s="18">
        <f t="shared" si="2"/>
        <v>0</v>
      </c>
      <c r="K12" s="30">
        <f t="shared" si="3"/>
        <v>3.0367223999999999</v>
      </c>
      <c r="L12" s="19"/>
    </row>
    <row r="13" spans="1:14" x14ac:dyDescent="0.25">
      <c r="A13" s="10"/>
      <c r="B13" s="10"/>
      <c r="C13" s="11" t="s">
        <v>34</v>
      </c>
      <c r="D13" s="12"/>
      <c r="E13" s="10"/>
      <c r="F13" s="10"/>
      <c r="G13" s="34"/>
      <c r="H13" s="17" t="e">
        <f t="shared" si="0"/>
        <v>#DIV/0!</v>
      </c>
      <c r="I13" s="18">
        <f t="shared" si="1"/>
        <v>3.0367223999999999</v>
      </c>
      <c r="J13" s="18">
        <f t="shared" si="2"/>
        <v>0</v>
      </c>
      <c r="K13" s="30">
        <f t="shared" si="3"/>
        <v>3.0367223999999999</v>
      </c>
      <c r="L13" s="19"/>
    </row>
    <row r="14" spans="1:14" x14ac:dyDescent="0.25">
      <c r="A14" s="10"/>
      <c r="B14" s="10"/>
      <c r="C14" s="11" t="s">
        <v>34</v>
      </c>
      <c r="D14" s="12"/>
      <c r="E14" s="10"/>
      <c r="F14" s="10"/>
      <c r="G14" s="34"/>
      <c r="H14" s="17" t="e">
        <f t="shared" ref="H14:H20" si="4">(D14-I14)/D14</f>
        <v>#DIV/0!</v>
      </c>
      <c r="I14" s="18">
        <f t="shared" ref="I14:I20" si="5">J14+K14</f>
        <v>3.0367223999999999</v>
      </c>
      <c r="J14" s="18">
        <f t="shared" ref="J14:J20" si="6">L14/100</f>
        <v>0</v>
      </c>
      <c r="K14" s="30">
        <f t="shared" si="3"/>
        <v>3.0367223999999999</v>
      </c>
      <c r="L14" s="19"/>
    </row>
    <row r="15" spans="1:14" x14ac:dyDescent="0.25">
      <c r="A15" s="10"/>
      <c r="B15" s="10"/>
      <c r="C15" s="11" t="s">
        <v>34</v>
      </c>
      <c r="D15" s="12"/>
      <c r="E15" s="10"/>
      <c r="F15" s="10"/>
      <c r="G15" s="34"/>
      <c r="H15" s="17" t="e">
        <f t="shared" si="4"/>
        <v>#DIV/0!</v>
      </c>
      <c r="I15" s="18">
        <f t="shared" si="5"/>
        <v>3.0367223999999999</v>
      </c>
      <c r="J15" s="18">
        <f t="shared" si="6"/>
        <v>0</v>
      </c>
      <c r="K15" s="30">
        <f t="shared" si="3"/>
        <v>3.0367223999999999</v>
      </c>
      <c r="L15" s="19"/>
    </row>
    <row r="16" spans="1:14" x14ac:dyDescent="0.25">
      <c r="A16" s="10"/>
      <c r="B16" s="10"/>
      <c r="C16" s="11" t="s">
        <v>34</v>
      </c>
      <c r="D16" s="12"/>
      <c r="E16" s="10"/>
      <c r="F16" s="10"/>
      <c r="G16" s="34"/>
      <c r="H16" s="17" t="e">
        <f t="shared" si="4"/>
        <v>#DIV/0!</v>
      </c>
      <c r="I16" s="18">
        <f t="shared" si="5"/>
        <v>3.0367223999999999</v>
      </c>
      <c r="J16" s="18">
        <f t="shared" si="6"/>
        <v>0</v>
      </c>
      <c r="K16" s="30">
        <f t="shared" si="3"/>
        <v>3.0367223999999999</v>
      </c>
      <c r="L16" s="19"/>
    </row>
    <row r="17" spans="1:12" x14ac:dyDescent="0.25">
      <c r="A17" s="10"/>
      <c r="B17" s="10"/>
      <c r="C17" s="11" t="s">
        <v>34</v>
      </c>
      <c r="D17" s="12"/>
      <c r="E17" s="10"/>
      <c r="F17" s="10"/>
      <c r="G17" s="34"/>
      <c r="H17" s="17" t="e">
        <f t="shared" si="4"/>
        <v>#DIV/0!</v>
      </c>
      <c r="I17" s="18">
        <f t="shared" si="5"/>
        <v>3.0367223999999999</v>
      </c>
      <c r="J17" s="18">
        <f t="shared" si="6"/>
        <v>0</v>
      </c>
      <c r="K17" s="30">
        <f t="shared" si="3"/>
        <v>3.0367223999999999</v>
      </c>
      <c r="L17" s="19"/>
    </row>
    <row r="18" spans="1:12" x14ac:dyDescent="0.25">
      <c r="A18" s="10"/>
      <c r="B18" s="10"/>
      <c r="C18" s="11" t="s">
        <v>34</v>
      </c>
      <c r="D18" s="12"/>
      <c r="E18" s="10"/>
      <c r="F18" s="10"/>
      <c r="G18" s="34"/>
      <c r="H18" s="17" t="e">
        <f t="shared" si="4"/>
        <v>#DIV/0!</v>
      </c>
      <c r="I18" s="18">
        <f t="shared" si="5"/>
        <v>3.0367223999999999</v>
      </c>
      <c r="J18" s="18">
        <f t="shared" si="6"/>
        <v>0</v>
      </c>
      <c r="K18" s="30">
        <f t="shared" si="3"/>
        <v>3.0367223999999999</v>
      </c>
      <c r="L18" s="19"/>
    </row>
    <row r="19" spans="1:12" x14ac:dyDescent="0.25">
      <c r="A19" s="10"/>
      <c r="B19" s="10"/>
      <c r="C19" s="11" t="s">
        <v>34</v>
      </c>
      <c r="D19" s="11"/>
      <c r="E19" s="10"/>
      <c r="F19" s="10"/>
      <c r="G19" s="34"/>
      <c r="H19" s="17" t="e">
        <f t="shared" si="4"/>
        <v>#DIV/0!</v>
      </c>
      <c r="I19" s="18">
        <f t="shared" si="5"/>
        <v>3.0367223999999999</v>
      </c>
      <c r="J19" s="18">
        <f t="shared" si="6"/>
        <v>0</v>
      </c>
      <c r="K19" s="30">
        <f t="shared" si="3"/>
        <v>3.0367223999999999</v>
      </c>
      <c r="L19" s="19"/>
    </row>
    <row r="20" spans="1:12" x14ac:dyDescent="0.25">
      <c r="A20" s="10"/>
      <c r="B20" s="10"/>
      <c r="C20" s="11" t="s">
        <v>34</v>
      </c>
      <c r="D20" s="11"/>
      <c r="E20" s="10"/>
      <c r="F20" s="10"/>
      <c r="G20" s="34"/>
      <c r="H20" s="17" t="e">
        <f t="shared" si="4"/>
        <v>#DIV/0!</v>
      </c>
      <c r="I20" s="18">
        <f t="shared" si="5"/>
        <v>3.0367223999999999</v>
      </c>
      <c r="J20" s="18">
        <f t="shared" si="6"/>
        <v>0</v>
      </c>
      <c r="K20" s="30">
        <f t="shared" si="3"/>
        <v>3.0367223999999999</v>
      </c>
      <c r="L20" s="19"/>
    </row>
    <row r="23" spans="1:12" x14ac:dyDescent="0.25">
      <c r="B23" t="s">
        <v>35</v>
      </c>
      <c r="G23" s="24" t="s">
        <v>111</v>
      </c>
    </row>
    <row r="24" spans="1:12" x14ac:dyDescent="0.25">
      <c r="B24" s="27" t="s">
        <v>19</v>
      </c>
      <c r="C24" s="42">
        <f>D24/60</f>
        <v>0.13250000000000001</v>
      </c>
      <c r="D24" s="19">
        <v>7.95</v>
      </c>
      <c r="E24" t="s">
        <v>36</v>
      </c>
    </row>
    <row r="25" spans="1:12" x14ac:dyDescent="0.25">
      <c r="B25" s="27" t="s">
        <v>37</v>
      </c>
      <c r="C25" s="42">
        <f>D25*2</f>
        <v>0.17246240000000002</v>
      </c>
      <c r="D25" s="86">
        <f>F25+G25</f>
        <v>8.6231200000000008E-2</v>
      </c>
      <c r="E25" t="s">
        <v>38</v>
      </c>
      <c r="F25" s="19">
        <v>8.5000000000000006E-2</v>
      </c>
      <c r="G25">
        <v>1.2312E-3</v>
      </c>
    </row>
    <row r="26" spans="1:12" x14ac:dyDescent="0.25">
      <c r="B26" s="27" t="s">
        <v>39</v>
      </c>
      <c r="C26" s="42">
        <f>D26*2</f>
        <v>0.9591599999999999</v>
      </c>
      <c r="D26" s="86">
        <f>F26+G26</f>
        <v>0.47957999999999995</v>
      </c>
      <c r="E26" t="s">
        <v>40</v>
      </c>
      <c r="F26" s="19">
        <v>0.44879999999999998</v>
      </c>
      <c r="G26">
        <v>3.0779999999999998E-2</v>
      </c>
    </row>
    <row r="27" spans="1:12" x14ac:dyDescent="0.25">
      <c r="B27" s="27" t="s">
        <v>21</v>
      </c>
      <c r="C27" s="19">
        <v>0.37259999999999999</v>
      </c>
      <c r="D27"/>
    </row>
    <row r="28" spans="1:12" x14ac:dyDescent="0.25">
      <c r="B28" s="27" t="s">
        <v>13</v>
      </c>
      <c r="C28" s="42">
        <v>0.4</v>
      </c>
      <c r="D28"/>
    </row>
    <row r="29" spans="1:12" x14ac:dyDescent="0.25">
      <c r="B29" s="27" t="s">
        <v>14</v>
      </c>
      <c r="C29" s="42">
        <f>D29/60</f>
        <v>1</v>
      </c>
      <c r="D29" s="19">
        <v>60</v>
      </c>
      <c r="E29" t="s">
        <v>23</v>
      </c>
    </row>
    <row r="30" spans="1:12" x14ac:dyDescent="0.25">
      <c r="B30" s="27"/>
      <c r="C30" s="80">
        <f>SUM(C24:C29)</f>
        <v>3.0367223999999999</v>
      </c>
      <c r="D30" s="79" t="s">
        <v>110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2:L30"/>
  <sheetViews>
    <sheetView workbookViewId="0">
      <selection activeCell="C23" sqref="C23:G30"/>
    </sheetView>
  </sheetViews>
  <sheetFormatPr defaultRowHeight="15" x14ac:dyDescent="0.25"/>
  <cols>
    <col min="1" max="1" width="10.5703125" customWidth="1"/>
    <col min="2" max="2" width="35.42578125" customWidth="1"/>
    <col min="3" max="3" width="9" style="24" customWidth="1"/>
    <col min="4" max="4" width="11.7109375" style="24" customWidth="1"/>
    <col min="6" max="6" width="15.85546875" customWidth="1"/>
    <col min="8" max="8" width="9.140625" style="25"/>
    <col min="9" max="9" width="13.42578125" style="26" customWidth="1"/>
    <col min="10" max="10" width="12.28515625" style="26" bestFit="1" customWidth="1"/>
    <col min="11" max="11" width="20.85546875" style="31" customWidth="1"/>
    <col min="12" max="12" width="23.85546875" bestFit="1" customWidth="1"/>
  </cols>
  <sheetData>
    <row r="2" spans="1:12" x14ac:dyDescent="0.25">
      <c r="A2" s="1"/>
      <c r="B2" s="1"/>
      <c r="C2" s="2"/>
      <c r="D2" s="2"/>
      <c r="E2" s="1"/>
      <c r="F2" s="1"/>
      <c r="G2" s="1"/>
      <c r="H2" s="3"/>
      <c r="I2" s="4"/>
      <c r="J2" s="4"/>
      <c r="K2" s="28"/>
    </row>
    <row r="3" spans="1:12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16</v>
      </c>
      <c r="F3" s="5" t="s">
        <v>17</v>
      </c>
      <c r="G3" s="32"/>
      <c r="H3" s="7" t="s">
        <v>6</v>
      </c>
      <c r="I3" s="8" t="s">
        <v>46</v>
      </c>
      <c r="J3" s="8" t="s">
        <v>85</v>
      </c>
      <c r="K3" s="29" t="s">
        <v>9</v>
      </c>
      <c r="L3" s="9" t="s">
        <v>10</v>
      </c>
    </row>
    <row r="4" spans="1:12" x14ac:dyDescent="0.25">
      <c r="A4" s="10"/>
      <c r="B4" s="10"/>
      <c r="C4" s="11" t="s">
        <v>72</v>
      </c>
      <c r="D4" s="11"/>
      <c r="E4" s="10"/>
      <c r="F4" s="10"/>
      <c r="G4" s="34"/>
      <c r="H4" s="17" t="e">
        <f t="shared" ref="H4:H10" si="0">(D4-I4)/D4</f>
        <v>#DIV/0!</v>
      </c>
      <c r="I4" s="18">
        <f t="shared" ref="I4:I10" si="1">J4+K4</f>
        <v>6.1782447999999999</v>
      </c>
      <c r="J4" s="18">
        <f t="shared" ref="J4:J10" si="2">L4*0.02</f>
        <v>0</v>
      </c>
      <c r="K4" s="30">
        <f t="shared" ref="K4:K20" si="3">$C$30</f>
        <v>6.1782447999999999</v>
      </c>
      <c r="L4" s="19"/>
    </row>
    <row r="5" spans="1:12" x14ac:dyDescent="0.25">
      <c r="A5" s="10"/>
      <c r="B5" s="10"/>
      <c r="C5" s="11" t="s">
        <v>72</v>
      </c>
      <c r="D5" s="11"/>
      <c r="E5" s="10"/>
      <c r="F5" s="10"/>
      <c r="G5" s="34"/>
      <c r="H5" s="17" t="e">
        <f t="shared" si="0"/>
        <v>#DIV/0!</v>
      </c>
      <c r="I5" s="18">
        <f t="shared" si="1"/>
        <v>6.1782447999999999</v>
      </c>
      <c r="J5" s="18">
        <f t="shared" si="2"/>
        <v>0</v>
      </c>
      <c r="K5" s="30">
        <f t="shared" si="3"/>
        <v>6.1782447999999999</v>
      </c>
      <c r="L5" s="19"/>
    </row>
    <row r="6" spans="1:12" x14ac:dyDescent="0.25">
      <c r="A6" s="10"/>
      <c r="B6" s="10"/>
      <c r="C6" s="11" t="s">
        <v>72</v>
      </c>
      <c r="D6" s="11"/>
      <c r="E6" s="10"/>
      <c r="F6" s="10"/>
      <c r="G6" s="34"/>
      <c r="H6" s="17" t="e">
        <f t="shared" si="0"/>
        <v>#DIV/0!</v>
      </c>
      <c r="I6" s="18">
        <f t="shared" si="1"/>
        <v>6.1782447999999999</v>
      </c>
      <c r="J6" s="18">
        <f t="shared" si="2"/>
        <v>0</v>
      </c>
      <c r="K6" s="30">
        <f t="shared" si="3"/>
        <v>6.1782447999999999</v>
      </c>
      <c r="L6" s="19"/>
    </row>
    <row r="7" spans="1:12" x14ac:dyDescent="0.25">
      <c r="A7" s="10"/>
      <c r="B7" s="10"/>
      <c r="C7" s="11" t="s">
        <v>72</v>
      </c>
      <c r="D7" s="11"/>
      <c r="E7" s="10"/>
      <c r="F7" s="10"/>
      <c r="G7" s="34"/>
      <c r="H7" s="17" t="e">
        <f t="shared" si="0"/>
        <v>#DIV/0!</v>
      </c>
      <c r="I7" s="18">
        <f t="shared" si="1"/>
        <v>6.1782447999999999</v>
      </c>
      <c r="J7" s="18">
        <f t="shared" si="2"/>
        <v>0</v>
      </c>
      <c r="K7" s="30">
        <f t="shared" si="3"/>
        <v>6.1782447999999999</v>
      </c>
      <c r="L7" s="19"/>
    </row>
    <row r="8" spans="1:12" x14ac:dyDescent="0.25">
      <c r="A8" s="10"/>
      <c r="B8" s="10"/>
      <c r="C8" s="11" t="s">
        <v>72</v>
      </c>
      <c r="D8" s="11"/>
      <c r="E8" s="10"/>
      <c r="F8" s="10"/>
      <c r="G8" s="34"/>
      <c r="H8" s="17" t="e">
        <f t="shared" si="0"/>
        <v>#DIV/0!</v>
      </c>
      <c r="I8" s="18">
        <f t="shared" si="1"/>
        <v>6.1782447999999999</v>
      </c>
      <c r="J8" s="18">
        <f t="shared" si="2"/>
        <v>0</v>
      </c>
      <c r="K8" s="30">
        <f t="shared" si="3"/>
        <v>6.1782447999999999</v>
      </c>
      <c r="L8" s="19"/>
    </row>
    <row r="9" spans="1:12" x14ac:dyDescent="0.25">
      <c r="A9" s="10"/>
      <c r="B9" s="10"/>
      <c r="C9" s="11" t="s">
        <v>72</v>
      </c>
      <c r="D9" s="11"/>
      <c r="E9" s="10"/>
      <c r="F9" s="10"/>
      <c r="G9" s="34"/>
      <c r="H9" s="17" t="e">
        <f t="shared" si="0"/>
        <v>#DIV/0!</v>
      </c>
      <c r="I9" s="18">
        <f t="shared" si="1"/>
        <v>6.1782447999999999</v>
      </c>
      <c r="J9" s="18">
        <f t="shared" si="2"/>
        <v>0</v>
      </c>
      <c r="K9" s="30">
        <f t="shared" si="3"/>
        <v>6.1782447999999999</v>
      </c>
      <c r="L9" s="19"/>
    </row>
    <row r="10" spans="1:12" x14ac:dyDescent="0.25">
      <c r="A10" s="10"/>
      <c r="B10" s="10"/>
      <c r="C10" s="11" t="s">
        <v>72</v>
      </c>
      <c r="D10" s="11"/>
      <c r="E10" s="10"/>
      <c r="F10" s="10"/>
      <c r="G10" s="34"/>
      <c r="H10" s="17" t="e">
        <f t="shared" si="0"/>
        <v>#DIV/0!</v>
      </c>
      <c r="I10" s="18">
        <f t="shared" si="1"/>
        <v>6.1782447999999999</v>
      </c>
      <c r="J10" s="18">
        <f t="shared" si="2"/>
        <v>0</v>
      </c>
      <c r="K10" s="30">
        <f t="shared" si="3"/>
        <v>6.1782447999999999</v>
      </c>
      <c r="L10" s="19"/>
    </row>
    <row r="11" spans="1:12" x14ac:dyDescent="0.25">
      <c r="A11" s="10"/>
      <c r="B11" s="10"/>
      <c r="C11" s="11" t="s">
        <v>72</v>
      </c>
      <c r="D11" s="11"/>
      <c r="E11" s="10"/>
      <c r="F11" s="10"/>
      <c r="G11" s="34"/>
      <c r="H11" s="17" t="e">
        <f t="shared" ref="H11:H20" si="4">(D11-I11)/D11</f>
        <v>#DIV/0!</v>
      </c>
      <c r="I11" s="18">
        <f t="shared" ref="I11:I20" si="5">J11+K11</f>
        <v>6.1782447999999999</v>
      </c>
      <c r="J11" s="18">
        <f t="shared" ref="J11:J20" si="6">L11*0.02</f>
        <v>0</v>
      </c>
      <c r="K11" s="30">
        <f t="shared" si="3"/>
        <v>6.1782447999999999</v>
      </c>
      <c r="L11" s="19"/>
    </row>
    <row r="12" spans="1:12" x14ac:dyDescent="0.25">
      <c r="A12" s="10"/>
      <c r="B12" s="10"/>
      <c r="C12" s="11" t="s">
        <v>72</v>
      </c>
      <c r="D12" s="11"/>
      <c r="E12" s="10"/>
      <c r="F12" s="10"/>
      <c r="G12" s="34"/>
      <c r="H12" s="17" t="e">
        <f t="shared" si="4"/>
        <v>#DIV/0!</v>
      </c>
      <c r="I12" s="18">
        <f t="shared" si="5"/>
        <v>6.1782447999999999</v>
      </c>
      <c r="J12" s="18">
        <f t="shared" si="6"/>
        <v>0</v>
      </c>
      <c r="K12" s="30">
        <f t="shared" si="3"/>
        <v>6.1782447999999999</v>
      </c>
      <c r="L12" s="19"/>
    </row>
    <row r="13" spans="1:12" x14ac:dyDescent="0.25">
      <c r="A13" s="10"/>
      <c r="B13" s="10"/>
      <c r="C13" s="11" t="s">
        <v>72</v>
      </c>
      <c r="D13" s="11"/>
      <c r="E13" s="10"/>
      <c r="F13" s="10"/>
      <c r="G13" s="34"/>
      <c r="H13" s="17" t="e">
        <f t="shared" si="4"/>
        <v>#DIV/0!</v>
      </c>
      <c r="I13" s="18">
        <f t="shared" si="5"/>
        <v>6.1782447999999999</v>
      </c>
      <c r="J13" s="18">
        <f t="shared" si="6"/>
        <v>0</v>
      </c>
      <c r="K13" s="30">
        <f t="shared" si="3"/>
        <v>6.1782447999999999</v>
      </c>
      <c r="L13" s="19"/>
    </row>
    <row r="14" spans="1:12" x14ac:dyDescent="0.25">
      <c r="A14" s="10"/>
      <c r="B14" s="10"/>
      <c r="C14" s="11" t="s">
        <v>72</v>
      </c>
      <c r="D14" s="11"/>
      <c r="E14" s="10"/>
      <c r="F14" s="10"/>
      <c r="G14" s="34"/>
      <c r="H14" s="17" t="e">
        <f t="shared" si="4"/>
        <v>#DIV/0!</v>
      </c>
      <c r="I14" s="18">
        <f t="shared" si="5"/>
        <v>6.1782447999999999</v>
      </c>
      <c r="J14" s="18">
        <f t="shared" si="6"/>
        <v>0</v>
      </c>
      <c r="K14" s="30">
        <f t="shared" si="3"/>
        <v>6.1782447999999999</v>
      </c>
      <c r="L14" s="19"/>
    </row>
    <row r="15" spans="1:12" x14ac:dyDescent="0.25">
      <c r="A15" s="10"/>
      <c r="B15" s="10"/>
      <c r="C15" s="11" t="s">
        <v>72</v>
      </c>
      <c r="D15" s="11"/>
      <c r="E15" s="10"/>
      <c r="F15" s="10"/>
      <c r="G15" s="34"/>
      <c r="H15" s="17" t="e">
        <f t="shared" si="4"/>
        <v>#DIV/0!</v>
      </c>
      <c r="I15" s="18">
        <f t="shared" si="5"/>
        <v>6.1782447999999999</v>
      </c>
      <c r="J15" s="18">
        <f t="shared" si="6"/>
        <v>0</v>
      </c>
      <c r="K15" s="30">
        <f t="shared" si="3"/>
        <v>6.1782447999999999</v>
      </c>
      <c r="L15" s="19"/>
    </row>
    <row r="16" spans="1:12" x14ac:dyDescent="0.25">
      <c r="A16" s="10"/>
      <c r="B16" s="10"/>
      <c r="C16" s="11" t="s">
        <v>72</v>
      </c>
      <c r="D16" s="11"/>
      <c r="E16" s="10"/>
      <c r="F16" s="10"/>
      <c r="G16" s="34"/>
      <c r="H16" s="17" t="e">
        <f t="shared" si="4"/>
        <v>#DIV/0!</v>
      </c>
      <c r="I16" s="18">
        <f t="shared" si="5"/>
        <v>6.1782447999999999</v>
      </c>
      <c r="J16" s="18">
        <f t="shared" si="6"/>
        <v>0</v>
      </c>
      <c r="K16" s="30">
        <f t="shared" si="3"/>
        <v>6.1782447999999999</v>
      </c>
      <c r="L16" s="19"/>
    </row>
    <row r="17" spans="1:12" x14ac:dyDescent="0.25">
      <c r="A17" s="10"/>
      <c r="B17" s="10"/>
      <c r="C17" s="11" t="s">
        <v>72</v>
      </c>
      <c r="D17" s="11"/>
      <c r="E17" s="10"/>
      <c r="F17" s="10"/>
      <c r="G17" s="34"/>
      <c r="H17" s="17" t="e">
        <f t="shared" si="4"/>
        <v>#DIV/0!</v>
      </c>
      <c r="I17" s="18">
        <f t="shared" si="5"/>
        <v>6.1782447999999999</v>
      </c>
      <c r="J17" s="18">
        <f t="shared" si="6"/>
        <v>0</v>
      </c>
      <c r="K17" s="30">
        <f t="shared" si="3"/>
        <v>6.1782447999999999</v>
      </c>
      <c r="L17" s="19"/>
    </row>
    <row r="18" spans="1:12" x14ac:dyDescent="0.25">
      <c r="A18" s="10"/>
      <c r="B18" s="10"/>
      <c r="C18" s="11" t="s">
        <v>72</v>
      </c>
      <c r="D18" s="11"/>
      <c r="E18" s="10"/>
      <c r="F18" s="10"/>
      <c r="G18" s="34"/>
      <c r="H18" s="17" t="e">
        <f t="shared" si="4"/>
        <v>#DIV/0!</v>
      </c>
      <c r="I18" s="18">
        <f t="shared" si="5"/>
        <v>6.1782447999999999</v>
      </c>
      <c r="J18" s="18">
        <f t="shared" si="6"/>
        <v>0</v>
      </c>
      <c r="K18" s="30">
        <f t="shared" si="3"/>
        <v>6.1782447999999999</v>
      </c>
      <c r="L18" s="19"/>
    </row>
    <row r="19" spans="1:12" x14ac:dyDescent="0.25">
      <c r="A19" s="10"/>
      <c r="B19" s="10"/>
      <c r="C19" s="11" t="s">
        <v>72</v>
      </c>
      <c r="D19" s="11"/>
      <c r="E19" s="10"/>
      <c r="F19" s="10"/>
      <c r="G19" s="34"/>
      <c r="H19" s="17" t="e">
        <f t="shared" si="4"/>
        <v>#DIV/0!</v>
      </c>
      <c r="I19" s="18">
        <f t="shared" si="5"/>
        <v>6.1782447999999999</v>
      </c>
      <c r="J19" s="18">
        <f t="shared" si="6"/>
        <v>0</v>
      </c>
      <c r="K19" s="30">
        <f t="shared" si="3"/>
        <v>6.1782447999999999</v>
      </c>
      <c r="L19" s="19"/>
    </row>
    <row r="20" spans="1:12" x14ac:dyDescent="0.25">
      <c r="A20" s="10"/>
      <c r="B20" s="10"/>
      <c r="C20" s="11" t="s">
        <v>72</v>
      </c>
      <c r="D20" s="11"/>
      <c r="E20" s="10"/>
      <c r="F20" s="10"/>
      <c r="G20" s="34"/>
      <c r="H20" s="17" t="e">
        <f t="shared" si="4"/>
        <v>#DIV/0!</v>
      </c>
      <c r="I20" s="18">
        <f t="shared" si="5"/>
        <v>6.1782447999999999</v>
      </c>
      <c r="J20" s="18">
        <f t="shared" si="6"/>
        <v>0</v>
      </c>
      <c r="K20" s="30">
        <f t="shared" si="3"/>
        <v>6.1782447999999999</v>
      </c>
      <c r="L20" s="19"/>
    </row>
    <row r="23" spans="1:12" x14ac:dyDescent="0.25">
      <c r="B23" t="s">
        <v>48</v>
      </c>
      <c r="G23" s="24" t="s">
        <v>111</v>
      </c>
    </row>
    <row r="24" spans="1:12" x14ac:dyDescent="0.25">
      <c r="B24" s="27" t="s">
        <v>19</v>
      </c>
      <c r="C24" s="39">
        <f>D24/30</f>
        <v>0.26500000000000001</v>
      </c>
      <c r="D24" s="19">
        <v>7.95</v>
      </c>
      <c r="E24" t="s">
        <v>23</v>
      </c>
    </row>
    <row r="25" spans="1:12" x14ac:dyDescent="0.25">
      <c r="B25" s="27" t="s">
        <v>37</v>
      </c>
      <c r="C25" s="39">
        <f>D25*4</f>
        <v>0.34492480000000003</v>
      </c>
      <c r="D25" s="86">
        <f>F25+G25</f>
        <v>8.6231200000000008E-2</v>
      </c>
      <c r="E25" t="s">
        <v>38</v>
      </c>
      <c r="F25" s="19">
        <v>8.5000000000000006E-2</v>
      </c>
      <c r="G25">
        <v>1.2312E-3</v>
      </c>
    </row>
    <row r="26" spans="1:12" x14ac:dyDescent="0.25">
      <c r="B26" s="27" t="s">
        <v>39</v>
      </c>
      <c r="C26" s="39">
        <f>D26*4</f>
        <v>1.9183199999999998</v>
      </c>
      <c r="D26" s="86">
        <f>F26+G26</f>
        <v>0.47957999999999995</v>
      </c>
      <c r="E26" t="s">
        <v>40</v>
      </c>
      <c r="F26" s="19">
        <v>0.44879999999999998</v>
      </c>
      <c r="G26">
        <v>3.0779999999999998E-2</v>
      </c>
    </row>
    <row r="27" spans="1:12" x14ac:dyDescent="0.25">
      <c r="B27" s="27" t="s">
        <v>21</v>
      </c>
      <c r="C27" s="39">
        <f>D27</f>
        <v>0.85</v>
      </c>
      <c r="D27" s="19">
        <v>0.85</v>
      </c>
      <c r="E27" t="s">
        <v>47</v>
      </c>
    </row>
    <row r="28" spans="1:12" x14ac:dyDescent="0.25">
      <c r="B28" s="27" t="s">
        <v>13</v>
      </c>
      <c r="C28" s="39">
        <f>D28*20</f>
        <v>0.8</v>
      </c>
      <c r="D28" s="19">
        <v>0.04</v>
      </c>
      <c r="E28" t="s">
        <v>41</v>
      </c>
    </row>
    <row r="29" spans="1:12" x14ac:dyDescent="0.25">
      <c r="B29" s="27" t="s">
        <v>14</v>
      </c>
      <c r="C29" s="39">
        <f>D29/30</f>
        <v>2</v>
      </c>
      <c r="D29" s="19">
        <v>60</v>
      </c>
      <c r="E29" t="s">
        <v>23</v>
      </c>
    </row>
    <row r="30" spans="1:12" x14ac:dyDescent="0.25">
      <c r="B30" s="27"/>
      <c r="C30" s="78">
        <f>SUM(C24:C29)</f>
        <v>6.1782447999999999</v>
      </c>
      <c r="D30" s="79" t="s">
        <v>109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2:L37"/>
  <sheetViews>
    <sheetView workbookViewId="0">
      <selection activeCell="B10" sqref="B10"/>
    </sheetView>
  </sheetViews>
  <sheetFormatPr defaultRowHeight="15" x14ac:dyDescent="0.25"/>
  <cols>
    <col min="1" max="1" width="10.5703125" customWidth="1"/>
    <col min="2" max="2" width="34.5703125" customWidth="1"/>
    <col min="3" max="3" width="9.140625" style="24" customWidth="1"/>
    <col min="4" max="4" width="10.140625" style="24" customWidth="1"/>
    <col min="6" max="6" width="36.85546875" bestFit="1" customWidth="1"/>
    <col min="8" max="8" width="9.140625" style="25"/>
    <col min="9" max="9" width="13.42578125" style="26" customWidth="1"/>
    <col min="10" max="10" width="12.28515625" style="26" bestFit="1" customWidth="1"/>
    <col min="11" max="11" width="20.85546875" style="31" customWidth="1"/>
    <col min="12" max="12" width="23.85546875" bestFit="1" customWidth="1"/>
  </cols>
  <sheetData>
    <row r="2" spans="1:12" x14ac:dyDescent="0.25">
      <c r="A2" s="1"/>
      <c r="B2" s="1"/>
      <c r="C2" s="2"/>
      <c r="D2" s="2"/>
      <c r="E2" s="1"/>
      <c r="F2" s="1"/>
      <c r="G2" s="1"/>
      <c r="H2" s="3"/>
      <c r="I2" s="4"/>
      <c r="J2" s="4"/>
      <c r="K2" s="28"/>
    </row>
    <row r="3" spans="1:12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16</v>
      </c>
      <c r="F3" s="5" t="s">
        <v>17</v>
      </c>
      <c r="G3" s="32"/>
      <c r="H3" s="7" t="s">
        <v>6</v>
      </c>
      <c r="I3" s="8" t="s">
        <v>18</v>
      </c>
      <c r="J3" s="8" t="s">
        <v>87</v>
      </c>
      <c r="K3" s="29" t="s">
        <v>9</v>
      </c>
      <c r="L3" s="9" t="s">
        <v>10</v>
      </c>
    </row>
    <row r="4" spans="1:12" x14ac:dyDescent="0.25">
      <c r="A4" s="63"/>
      <c r="B4" s="10"/>
      <c r="C4" s="11" t="s">
        <v>122</v>
      </c>
      <c r="D4" s="12"/>
      <c r="E4" s="50"/>
      <c r="F4" s="14"/>
      <c r="G4" s="33"/>
      <c r="H4" s="17" t="e">
        <f t="shared" ref="H4:H22" si="0">(D4-I4)/D4</f>
        <v>#DIV/0!</v>
      </c>
      <c r="I4" s="18">
        <f>J4+K4</f>
        <v>3.3816902058823528</v>
      </c>
      <c r="J4" s="18">
        <f>L4/100</f>
        <v>0</v>
      </c>
      <c r="K4" s="30">
        <f>$C$29</f>
        <v>3.3816902058823528</v>
      </c>
      <c r="L4" s="45"/>
    </row>
    <row r="5" spans="1:12" x14ac:dyDescent="0.25">
      <c r="A5" s="57"/>
      <c r="B5" s="10"/>
      <c r="C5" s="11" t="s">
        <v>122</v>
      </c>
      <c r="D5" s="12"/>
      <c r="E5" s="20"/>
      <c r="F5" s="10"/>
      <c r="G5" s="33"/>
      <c r="H5" s="17" t="e">
        <f t="shared" si="0"/>
        <v>#DIV/0!</v>
      </c>
      <c r="I5" s="18">
        <f t="shared" ref="I5:I21" si="1">J5+K5</f>
        <v>3.3816902058823528</v>
      </c>
      <c r="J5" s="18">
        <f t="shared" ref="J5:J21" si="2">L5/100</f>
        <v>0</v>
      </c>
      <c r="K5" s="30">
        <f t="shared" ref="K5:K22" si="3">$C$29</f>
        <v>3.3816902058823528</v>
      </c>
      <c r="L5" s="45"/>
    </row>
    <row r="6" spans="1:12" x14ac:dyDescent="0.25">
      <c r="A6" s="57"/>
      <c r="B6" s="10"/>
      <c r="C6" s="11" t="s">
        <v>122</v>
      </c>
      <c r="D6" s="12"/>
      <c r="E6" s="20"/>
      <c r="F6" s="10"/>
      <c r="G6" s="34"/>
      <c r="H6" s="17" t="e">
        <f t="shared" si="0"/>
        <v>#DIV/0!</v>
      </c>
      <c r="I6" s="18">
        <f t="shared" si="1"/>
        <v>3.3816902058823528</v>
      </c>
      <c r="J6" s="18">
        <f t="shared" si="2"/>
        <v>0</v>
      </c>
      <c r="K6" s="30">
        <f t="shared" si="3"/>
        <v>3.3816902058823528</v>
      </c>
      <c r="L6" s="45"/>
    </row>
    <row r="7" spans="1:12" x14ac:dyDescent="0.25">
      <c r="A7" s="57"/>
      <c r="B7" s="10"/>
      <c r="C7" s="11" t="s">
        <v>122</v>
      </c>
      <c r="D7" s="12"/>
      <c r="E7" s="20"/>
      <c r="F7" s="10"/>
      <c r="G7" s="34"/>
      <c r="H7" s="17" t="e">
        <f t="shared" si="0"/>
        <v>#DIV/0!</v>
      </c>
      <c r="I7" s="18">
        <f t="shared" si="1"/>
        <v>3.3816902058823528</v>
      </c>
      <c r="J7" s="18">
        <f t="shared" si="2"/>
        <v>0</v>
      </c>
      <c r="K7" s="30">
        <f t="shared" si="3"/>
        <v>3.3816902058823528</v>
      </c>
      <c r="L7" s="45"/>
    </row>
    <row r="8" spans="1:12" x14ac:dyDescent="0.25">
      <c r="A8" s="57"/>
      <c r="B8" s="10"/>
      <c r="C8" s="11" t="s">
        <v>122</v>
      </c>
      <c r="D8" s="12"/>
      <c r="E8" s="51"/>
      <c r="F8" s="10"/>
      <c r="G8" s="34"/>
      <c r="H8" s="17" t="e">
        <f t="shared" si="0"/>
        <v>#DIV/0!</v>
      </c>
      <c r="I8" s="18">
        <f t="shared" si="1"/>
        <v>3.3816902058823528</v>
      </c>
      <c r="J8" s="18">
        <f t="shared" si="2"/>
        <v>0</v>
      </c>
      <c r="K8" s="30">
        <f t="shared" si="3"/>
        <v>3.3816902058823528</v>
      </c>
      <c r="L8" s="19"/>
    </row>
    <row r="9" spans="1:12" x14ac:dyDescent="0.25">
      <c r="A9" s="10"/>
      <c r="B9" s="10"/>
      <c r="C9" s="11" t="s">
        <v>122</v>
      </c>
      <c r="D9" s="12"/>
      <c r="E9" s="14"/>
      <c r="F9" s="10"/>
      <c r="G9" s="34"/>
      <c r="H9" s="17" t="e">
        <f t="shared" si="0"/>
        <v>#DIV/0!</v>
      </c>
      <c r="I9" s="18">
        <f t="shared" si="1"/>
        <v>3.3816902058823528</v>
      </c>
      <c r="J9" s="18">
        <f t="shared" si="2"/>
        <v>0</v>
      </c>
      <c r="K9" s="30">
        <f t="shared" si="3"/>
        <v>3.3816902058823528</v>
      </c>
      <c r="L9" s="45"/>
    </row>
    <row r="10" spans="1:12" x14ac:dyDescent="0.25">
      <c r="A10" s="10"/>
      <c r="B10" s="10"/>
      <c r="C10" s="11" t="s">
        <v>122</v>
      </c>
      <c r="D10" s="12"/>
      <c r="E10" s="10"/>
      <c r="F10" s="10"/>
      <c r="G10" s="34"/>
      <c r="H10" s="17" t="e">
        <f t="shared" si="0"/>
        <v>#DIV/0!</v>
      </c>
      <c r="I10" s="18">
        <f t="shared" si="1"/>
        <v>3.3816902058823528</v>
      </c>
      <c r="J10" s="18">
        <f t="shared" si="2"/>
        <v>0</v>
      </c>
      <c r="K10" s="30">
        <f t="shared" si="3"/>
        <v>3.3816902058823528</v>
      </c>
      <c r="L10" s="45"/>
    </row>
    <row r="11" spans="1:12" x14ac:dyDescent="0.25">
      <c r="A11" s="10"/>
      <c r="B11" s="10"/>
      <c r="C11" s="11" t="s">
        <v>122</v>
      </c>
      <c r="D11" s="12"/>
      <c r="E11" s="10"/>
      <c r="F11" s="10"/>
      <c r="G11" s="34"/>
      <c r="H11" s="17" t="e">
        <f t="shared" si="0"/>
        <v>#DIV/0!</v>
      </c>
      <c r="I11" s="18">
        <f t="shared" si="1"/>
        <v>3.3816902058823528</v>
      </c>
      <c r="J11" s="18">
        <f t="shared" si="2"/>
        <v>0</v>
      </c>
      <c r="K11" s="30">
        <f t="shared" si="3"/>
        <v>3.3816902058823528</v>
      </c>
      <c r="L11" s="45"/>
    </row>
    <row r="12" spans="1:12" x14ac:dyDescent="0.25">
      <c r="A12" s="10"/>
      <c r="B12" s="10"/>
      <c r="C12" s="11" t="s">
        <v>122</v>
      </c>
      <c r="D12" s="12"/>
      <c r="E12" s="10"/>
      <c r="F12" s="10"/>
      <c r="G12" s="34"/>
      <c r="H12" s="17" t="e">
        <f t="shared" si="0"/>
        <v>#DIV/0!</v>
      </c>
      <c r="I12" s="18">
        <f t="shared" si="1"/>
        <v>3.3816902058823528</v>
      </c>
      <c r="J12" s="18">
        <f t="shared" si="2"/>
        <v>0</v>
      </c>
      <c r="K12" s="30">
        <f t="shared" si="3"/>
        <v>3.3816902058823528</v>
      </c>
      <c r="L12" s="19"/>
    </row>
    <row r="13" spans="1:12" x14ac:dyDescent="0.25">
      <c r="A13" s="10"/>
      <c r="B13" s="10"/>
      <c r="C13" s="11" t="s">
        <v>122</v>
      </c>
      <c r="D13" s="11"/>
      <c r="E13" s="10"/>
      <c r="F13" s="10"/>
      <c r="G13" s="34"/>
      <c r="H13" s="17" t="e">
        <f t="shared" si="0"/>
        <v>#DIV/0!</v>
      </c>
      <c r="I13" s="18">
        <f t="shared" si="1"/>
        <v>3.3816902058823528</v>
      </c>
      <c r="J13" s="18">
        <f t="shared" si="2"/>
        <v>0</v>
      </c>
      <c r="K13" s="30">
        <f t="shared" si="3"/>
        <v>3.3816902058823528</v>
      </c>
      <c r="L13" s="19"/>
    </row>
    <row r="14" spans="1:12" x14ac:dyDescent="0.25">
      <c r="A14" s="10"/>
      <c r="B14" s="10"/>
      <c r="C14" s="11" t="s">
        <v>122</v>
      </c>
      <c r="D14" s="11"/>
      <c r="E14" s="10"/>
      <c r="F14" s="10"/>
      <c r="G14" s="34"/>
      <c r="H14" s="17" t="e">
        <f t="shared" si="0"/>
        <v>#DIV/0!</v>
      </c>
      <c r="I14" s="18">
        <f t="shared" si="1"/>
        <v>3.3816902058823528</v>
      </c>
      <c r="J14" s="18">
        <f t="shared" si="2"/>
        <v>0</v>
      </c>
      <c r="K14" s="30">
        <f t="shared" si="3"/>
        <v>3.3816902058823528</v>
      </c>
      <c r="L14" s="19"/>
    </row>
    <row r="15" spans="1:12" x14ac:dyDescent="0.25">
      <c r="A15" s="10"/>
      <c r="B15" s="10"/>
      <c r="C15" s="11" t="s">
        <v>122</v>
      </c>
      <c r="D15" s="11"/>
      <c r="E15" s="10"/>
      <c r="F15" s="10"/>
      <c r="G15" s="34"/>
      <c r="H15" s="17" t="e">
        <f t="shared" si="0"/>
        <v>#DIV/0!</v>
      </c>
      <c r="I15" s="18">
        <f t="shared" si="1"/>
        <v>3.3816902058823528</v>
      </c>
      <c r="J15" s="18">
        <f t="shared" si="2"/>
        <v>0</v>
      </c>
      <c r="K15" s="30">
        <f t="shared" si="3"/>
        <v>3.3816902058823528</v>
      </c>
      <c r="L15" s="19"/>
    </row>
    <row r="16" spans="1:12" x14ac:dyDescent="0.25">
      <c r="A16" s="10"/>
      <c r="B16" s="10"/>
      <c r="C16" s="11" t="s">
        <v>122</v>
      </c>
      <c r="D16" s="11"/>
      <c r="E16" s="10"/>
      <c r="F16" s="10"/>
      <c r="G16" s="34"/>
      <c r="H16" s="17" t="e">
        <f t="shared" si="0"/>
        <v>#DIV/0!</v>
      </c>
      <c r="I16" s="18">
        <f t="shared" si="1"/>
        <v>3.3816902058823528</v>
      </c>
      <c r="J16" s="18">
        <f t="shared" si="2"/>
        <v>0</v>
      </c>
      <c r="K16" s="30">
        <f t="shared" si="3"/>
        <v>3.3816902058823528</v>
      </c>
      <c r="L16" s="19"/>
    </row>
    <row r="17" spans="1:12" x14ac:dyDescent="0.25">
      <c r="A17" s="10"/>
      <c r="B17" s="10"/>
      <c r="C17" s="11" t="s">
        <v>122</v>
      </c>
      <c r="D17" s="11"/>
      <c r="E17" s="10"/>
      <c r="F17" s="10"/>
      <c r="G17" s="34"/>
      <c r="H17" s="17" t="e">
        <f t="shared" si="0"/>
        <v>#DIV/0!</v>
      </c>
      <c r="I17" s="18">
        <f t="shared" si="1"/>
        <v>3.3816902058823528</v>
      </c>
      <c r="J17" s="18">
        <f t="shared" si="2"/>
        <v>0</v>
      </c>
      <c r="K17" s="30">
        <f t="shared" si="3"/>
        <v>3.3816902058823528</v>
      </c>
      <c r="L17" s="19"/>
    </row>
    <row r="18" spans="1:12" x14ac:dyDescent="0.25">
      <c r="A18" s="10"/>
      <c r="B18" s="10"/>
      <c r="C18" s="11" t="s">
        <v>122</v>
      </c>
      <c r="D18" s="11"/>
      <c r="E18" s="10"/>
      <c r="F18" s="10"/>
      <c r="G18" s="34"/>
      <c r="H18" s="17" t="e">
        <f t="shared" si="0"/>
        <v>#DIV/0!</v>
      </c>
      <c r="I18" s="18">
        <f t="shared" si="1"/>
        <v>3.3816902058823528</v>
      </c>
      <c r="J18" s="18">
        <f t="shared" si="2"/>
        <v>0</v>
      </c>
      <c r="K18" s="30">
        <f t="shared" si="3"/>
        <v>3.3816902058823528</v>
      </c>
      <c r="L18" s="19"/>
    </row>
    <row r="19" spans="1:12" x14ac:dyDescent="0.25">
      <c r="A19" s="10"/>
      <c r="B19" s="10"/>
      <c r="C19" s="11" t="s">
        <v>122</v>
      </c>
      <c r="D19" s="11"/>
      <c r="E19" s="10"/>
      <c r="F19" s="10"/>
      <c r="G19" s="34"/>
      <c r="H19" s="17" t="e">
        <f t="shared" si="0"/>
        <v>#DIV/0!</v>
      </c>
      <c r="I19" s="18">
        <f t="shared" si="1"/>
        <v>3.3816902058823528</v>
      </c>
      <c r="J19" s="18">
        <f t="shared" si="2"/>
        <v>0</v>
      </c>
      <c r="K19" s="30">
        <f t="shared" si="3"/>
        <v>3.3816902058823528</v>
      </c>
      <c r="L19" s="19"/>
    </row>
    <row r="20" spans="1:12" x14ac:dyDescent="0.25">
      <c r="A20" s="10"/>
      <c r="B20" s="10"/>
      <c r="C20" s="11" t="s">
        <v>122</v>
      </c>
      <c r="D20" s="11"/>
      <c r="E20" s="10"/>
      <c r="F20" s="10"/>
      <c r="G20" s="34"/>
      <c r="H20" s="17" t="e">
        <f t="shared" si="0"/>
        <v>#DIV/0!</v>
      </c>
      <c r="I20" s="18">
        <f t="shared" si="1"/>
        <v>3.3816902058823528</v>
      </c>
      <c r="J20" s="18">
        <f t="shared" si="2"/>
        <v>0</v>
      </c>
      <c r="K20" s="30">
        <f t="shared" si="3"/>
        <v>3.3816902058823528</v>
      </c>
      <c r="L20" s="19"/>
    </row>
    <row r="21" spans="1:12" x14ac:dyDescent="0.25">
      <c r="A21" s="10"/>
      <c r="B21" s="10"/>
      <c r="C21" s="11" t="s">
        <v>122</v>
      </c>
      <c r="D21" s="11"/>
      <c r="E21" s="10"/>
      <c r="F21" s="10"/>
      <c r="G21" s="34"/>
      <c r="H21" s="17" t="e">
        <f t="shared" si="0"/>
        <v>#DIV/0!</v>
      </c>
      <c r="I21" s="18">
        <f t="shared" si="1"/>
        <v>3.3816902058823528</v>
      </c>
      <c r="J21" s="18">
        <f t="shared" si="2"/>
        <v>0</v>
      </c>
      <c r="K21" s="30">
        <f t="shared" si="3"/>
        <v>3.3816902058823528</v>
      </c>
      <c r="L21" s="19"/>
    </row>
    <row r="22" spans="1:12" x14ac:dyDescent="0.25">
      <c r="G22" s="34"/>
      <c r="H22" s="17" t="e">
        <f t="shared" si="0"/>
        <v>#DIV/0!</v>
      </c>
      <c r="I22" s="18">
        <f>J22+K22</f>
        <v>3.3816902058823528</v>
      </c>
      <c r="J22" s="18">
        <f>L22/100</f>
        <v>0</v>
      </c>
      <c r="K22" s="30">
        <f t="shared" si="3"/>
        <v>3.3816902058823528</v>
      </c>
      <c r="L22" s="19"/>
    </row>
    <row r="23" spans="1:12" x14ac:dyDescent="0.25">
      <c r="B23" t="s">
        <v>24</v>
      </c>
      <c r="F23" s="24" t="s">
        <v>111</v>
      </c>
    </row>
    <row r="24" spans="1:12" x14ac:dyDescent="0.25">
      <c r="B24" s="27" t="s">
        <v>19</v>
      </c>
      <c r="C24" s="18">
        <f>D24/68</f>
        <v>0.11691176470588235</v>
      </c>
      <c r="D24" s="19">
        <v>7.95</v>
      </c>
      <c r="E24" t="s">
        <v>19</v>
      </c>
    </row>
    <row r="25" spans="1:12" x14ac:dyDescent="0.25">
      <c r="B25" s="27" t="s">
        <v>20</v>
      </c>
      <c r="C25" s="64">
        <v>1.26</v>
      </c>
      <c r="D25"/>
      <c r="F25">
        <v>1.8239999999999999E-2</v>
      </c>
    </row>
    <row r="26" spans="1:12" x14ac:dyDescent="0.25">
      <c r="B26" s="27" t="s">
        <v>21</v>
      </c>
      <c r="C26" s="40">
        <f>D26+F26</f>
        <v>0.72242549999999994</v>
      </c>
      <c r="D26" s="40">
        <v>0.72</v>
      </c>
      <c r="F26">
        <v>2.4255000000000001E-3</v>
      </c>
    </row>
    <row r="27" spans="1:12" x14ac:dyDescent="0.25">
      <c r="B27" s="27" t="s">
        <v>13</v>
      </c>
      <c r="C27" s="41">
        <v>0.4</v>
      </c>
      <c r="D27"/>
    </row>
    <row r="28" spans="1:12" x14ac:dyDescent="0.25">
      <c r="B28" s="27" t="s">
        <v>22</v>
      </c>
      <c r="C28" s="18">
        <f>D28/68</f>
        <v>0.88235294117647056</v>
      </c>
      <c r="D28" s="19">
        <v>60</v>
      </c>
      <c r="E28" t="s">
        <v>23</v>
      </c>
    </row>
    <row r="29" spans="1:12" x14ac:dyDescent="0.25">
      <c r="B29" s="36"/>
      <c r="C29" s="37">
        <f>SUM(C24:C28)</f>
        <v>3.3816902058823528</v>
      </c>
      <c r="D29"/>
    </row>
    <row r="30" spans="1:12" x14ac:dyDescent="0.25">
      <c r="E30" s="24" t="s">
        <v>111</v>
      </c>
    </row>
    <row r="31" spans="1:12" x14ac:dyDescent="0.25">
      <c r="B31" t="s">
        <v>25</v>
      </c>
      <c r="C31" s="65">
        <f>D31+E31</f>
        <v>0.85824</v>
      </c>
      <c r="D31" s="65">
        <v>0.84</v>
      </c>
      <c r="E31">
        <v>1.8239999999999999E-2</v>
      </c>
      <c r="F31" t="s">
        <v>26</v>
      </c>
    </row>
    <row r="32" spans="1:12" x14ac:dyDescent="0.25">
      <c r="B32" t="s">
        <v>73</v>
      </c>
      <c r="C32" s="65">
        <f t="shared" ref="C32:C37" si="4">D32+E32</f>
        <v>0.99824000000000002</v>
      </c>
      <c r="D32" s="65">
        <v>0.98</v>
      </c>
      <c r="E32">
        <v>1.8239999999999999E-2</v>
      </c>
      <c r="F32" t="s">
        <v>28</v>
      </c>
    </row>
    <row r="33" spans="2:6" x14ac:dyDescent="0.25">
      <c r="B33" t="s">
        <v>75</v>
      </c>
      <c r="C33" s="65">
        <f t="shared" si="4"/>
        <v>0.87824000000000002</v>
      </c>
      <c r="D33" s="66">
        <v>0.86</v>
      </c>
      <c r="E33">
        <v>1.8239999999999999E-2</v>
      </c>
      <c r="F33" t="s">
        <v>29</v>
      </c>
    </row>
    <row r="34" spans="2:6" x14ac:dyDescent="0.25">
      <c r="B34" t="s">
        <v>27</v>
      </c>
      <c r="C34" s="65">
        <f t="shared" si="4"/>
        <v>0.91404000000000007</v>
      </c>
      <c r="D34" s="65">
        <v>0.89580000000000004</v>
      </c>
      <c r="E34">
        <v>1.8239999999999999E-2</v>
      </c>
    </row>
    <row r="35" spans="2:6" x14ac:dyDescent="0.25">
      <c r="B35" t="s">
        <v>74</v>
      </c>
      <c r="C35" s="65">
        <f t="shared" si="4"/>
        <v>1.27824</v>
      </c>
      <c r="D35" s="65">
        <v>1.26</v>
      </c>
      <c r="E35">
        <v>1.8239999999999999E-2</v>
      </c>
    </row>
    <row r="36" spans="2:6" x14ac:dyDescent="0.25">
      <c r="B36" t="s">
        <v>30</v>
      </c>
      <c r="C36" s="65">
        <f t="shared" si="4"/>
        <v>1.27824</v>
      </c>
      <c r="D36" s="65">
        <v>1.26</v>
      </c>
      <c r="E36">
        <v>1.8239999999999999E-2</v>
      </c>
    </row>
    <row r="37" spans="2:6" x14ac:dyDescent="0.25">
      <c r="B37" t="s">
        <v>31</v>
      </c>
      <c r="C37" s="65">
        <f t="shared" si="4"/>
        <v>1.06874</v>
      </c>
      <c r="D37" s="65">
        <v>1.0505</v>
      </c>
      <c r="E37">
        <v>1.8239999999999999E-2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8ACA-A80F-4ADC-96E1-C5E69B84B089}">
  <sheetPr codeName="Sheet8"/>
  <dimension ref="A2:M39"/>
  <sheetViews>
    <sheetView workbookViewId="0">
      <selection activeCell="C28" sqref="C28:G39"/>
    </sheetView>
  </sheetViews>
  <sheetFormatPr defaultRowHeight="15" x14ac:dyDescent="0.25"/>
  <cols>
    <col min="1" max="1" width="10.5703125" customWidth="1"/>
    <col min="2" max="2" width="39.5703125" customWidth="1"/>
    <col min="3" max="3" width="9" style="24" customWidth="1"/>
    <col min="4" max="4" width="11.7109375" style="24" customWidth="1"/>
    <col min="6" max="6" width="0" hidden="1" customWidth="1"/>
    <col min="7" max="7" width="24.85546875" customWidth="1"/>
    <col min="9" max="9" width="9.140625" style="25"/>
    <col min="10" max="10" width="18.140625" style="26" customWidth="1"/>
    <col min="11" max="11" width="12.28515625" style="26" bestFit="1" customWidth="1"/>
    <col min="12" max="12" width="20.85546875" style="70" customWidth="1"/>
    <col min="13" max="13" width="23.85546875" bestFit="1" customWidth="1"/>
  </cols>
  <sheetData>
    <row r="2" spans="1:13" x14ac:dyDescent="0.25">
      <c r="A2" s="1"/>
      <c r="B2" s="1"/>
      <c r="C2" s="2"/>
      <c r="D2" s="2"/>
      <c r="E2" s="1"/>
      <c r="G2" s="1"/>
      <c r="H2" s="1"/>
      <c r="I2" s="3"/>
      <c r="J2" s="4"/>
      <c r="K2" s="4"/>
      <c r="L2" s="67"/>
    </row>
    <row r="3" spans="1:13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58</v>
      </c>
      <c r="F3" s="10"/>
      <c r="G3" s="5" t="s">
        <v>17</v>
      </c>
      <c r="H3" s="32"/>
      <c r="I3" s="7" t="s">
        <v>6</v>
      </c>
      <c r="J3" s="8" t="s">
        <v>59</v>
      </c>
      <c r="K3" s="8" t="s">
        <v>60</v>
      </c>
      <c r="L3" s="68" t="s">
        <v>9</v>
      </c>
      <c r="M3" s="9" t="s">
        <v>10</v>
      </c>
    </row>
    <row r="4" spans="1:13" x14ac:dyDescent="0.25">
      <c r="A4" s="10"/>
      <c r="B4" s="11"/>
      <c r="C4" s="11" t="s">
        <v>77</v>
      </c>
      <c r="D4" s="12"/>
      <c r="E4" s="47">
        <f>D4/6</f>
        <v>0</v>
      </c>
      <c r="F4" s="10"/>
      <c r="G4" s="14"/>
      <c r="H4" s="33"/>
      <c r="I4" s="17" t="e">
        <f>(D4-J4)/D4</f>
        <v>#DIV/0!</v>
      </c>
      <c r="J4" s="18">
        <f>K4+L4</f>
        <v>3.8361299999999998</v>
      </c>
      <c r="K4" s="18">
        <f>M4*0.006</f>
        <v>0</v>
      </c>
      <c r="L4" s="69">
        <f>$C$39</f>
        <v>3.8361299999999998</v>
      </c>
      <c r="M4" s="19"/>
    </row>
    <row r="5" spans="1:13" x14ac:dyDescent="0.25">
      <c r="A5" s="10"/>
      <c r="B5" s="10"/>
      <c r="C5" s="11" t="s">
        <v>77</v>
      </c>
      <c r="D5" s="12"/>
      <c r="E5" s="47">
        <f t="shared" ref="E5:E25" si="0">D5/6</f>
        <v>0</v>
      </c>
      <c r="F5" s="10"/>
      <c r="G5" s="14"/>
      <c r="H5" s="33"/>
      <c r="I5" s="17" t="e">
        <f t="shared" ref="I5:I25" si="1">(D5-J5)/D5</f>
        <v>#DIV/0!</v>
      </c>
      <c r="J5" s="18">
        <f t="shared" ref="J5:J25" si="2">K5+L5</f>
        <v>3.8361299999999998</v>
      </c>
      <c r="K5" s="18">
        <f t="shared" ref="K5:K25" si="3">M5*0.006</f>
        <v>0</v>
      </c>
      <c r="L5" s="69">
        <f t="shared" ref="L5:L25" si="4">$C$39</f>
        <v>3.8361299999999998</v>
      </c>
      <c r="M5" s="19"/>
    </row>
    <row r="6" spans="1:13" x14ac:dyDescent="0.25">
      <c r="A6" s="47"/>
      <c r="B6" s="10"/>
      <c r="C6" s="11" t="s">
        <v>77</v>
      </c>
      <c r="D6" s="12"/>
      <c r="E6" s="47">
        <f t="shared" si="0"/>
        <v>0</v>
      </c>
      <c r="F6" s="10"/>
      <c r="G6" s="14"/>
      <c r="H6" s="33"/>
      <c r="I6" s="17" t="e">
        <f t="shared" si="1"/>
        <v>#DIV/0!</v>
      </c>
      <c r="J6" s="18">
        <f t="shared" si="2"/>
        <v>3.8361299999999998</v>
      </c>
      <c r="K6" s="18">
        <f t="shared" si="3"/>
        <v>0</v>
      </c>
      <c r="L6" s="69">
        <f t="shared" si="4"/>
        <v>3.8361299999999998</v>
      </c>
      <c r="M6" s="45"/>
    </row>
    <row r="7" spans="1:13" x14ac:dyDescent="0.25">
      <c r="A7" s="47"/>
      <c r="B7" s="10"/>
      <c r="C7" s="11" t="s">
        <v>77</v>
      </c>
      <c r="D7" s="12"/>
      <c r="E7" s="47">
        <f t="shared" si="0"/>
        <v>0</v>
      </c>
      <c r="F7" s="10"/>
      <c r="G7" s="14"/>
      <c r="H7" s="33"/>
      <c r="I7" s="17" t="e">
        <f t="shared" si="1"/>
        <v>#DIV/0!</v>
      </c>
      <c r="J7" s="18">
        <f t="shared" si="2"/>
        <v>3.8361299999999998</v>
      </c>
      <c r="K7" s="18">
        <f t="shared" si="3"/>
        <v>0</v>
      </c>
      <c r="L7" s="69">
        <f t="shared" si="4"/>
        <v>3.8361299999999998</v>
      </c>
      <c r="M7" s="45"/>
    </row>
    <row r="8" spans="1:13" x14ac:dyDescent="0.25">
      <c r="A8" s="47"/>
      <c r="B8" s="10"/>
      <c r="C8" s="11" t="s">
        <v>77</v>
      </c>
      <c r="D8" s="12"/>
      <c r="E8" s="47">
        <f t="shared" si="0"/>
        <v>0</v>
      </c>
      <c r="F8" s="10"/>
      <c r="G8" s="14"/>
      <c r="H8" s="33"/>
      <c r="I8" s="17" t="e">
        <f t="shared" si="1"/>
        <v>#DIV/0!</v>
      </c>
      <c r="J8" s="18">
        <f t="shared" si="2"/>
        <v>3.8361299999999998</v>
      </c>
      <c r="K8" s="18">
        <f t="shared" si="3"/>
        <v>0</v>
      </c>
      <c r="L8" s="69">
        <f t="shared" si="4"/>
        <v>3.8361299999999998</v>
      </c>
      <c r="M8" s="19"/>
    </row>
    <row r="9" spans="1:13" x14ac:dyDescent="0.25">
      <c r="A9" s="47"/>
      <c r="B9" s="10"/>
      <c r="C9" s="11" t="s">
        <v>77</v>
      </c>
      <c r="D9" s="12"/>
      <c r="E9" s="47">
        <f t="shared" si="0"/>
        <v>0</v>
      </c>
      <c r="F9" s="10"/>
      <c r="G9" s="10"/>
      <c r="H9" s="33"/>
      <c r="I9" s="17" t="e">
        <f t="shared" si="1"/>
        <v>#DIV/0!</v>
      </c>
      <c r="J9" s="18">
        <f t="shared" si="2"/>
        <v>3.8361299999999998</v>
      </c>
      <c r="K9" s="18">
        <f t="shared" si="3"/>
        <v>0</v>
      </c>
      <c r="L9" s="69">
        <f t="shared" si="4"/>
        <v>3.8361299999999998</v>
      </c>
      <c r="M9" s="19"/>
    </row>
    <row r="10" spans="1:13" x14ac:dyDescent="0.25">
      <c r="A10" s="47"/>
      <c r="B10" s="10"/>
      <c r="C10" s="11" t="s">
        <v>77</v>
      </c>
      <c r="D10" s="12"/>
      <c r="E10" s="47">
        <f t="shared" si="0"/>
        <v>0</v>
      </c>
      <c r="F10" s="10"/>
      <c r="G10" s="10"/>
      <c r="H10" s="34"/>
      <c r="I10" s="17" t="e">
        <f t="shared" si="1"/>
        <v>#DIV/0!</v>
      </c>
      <c r="J10" s="18">
        <f t="shared" si="2"/>
        <v>3.8361299999999998</v>
      </c>
      <c r="K10" s="18">
        <f t="shared" si="3"/>
        <v>0</v>
      </c>
      <c r="L10" s="69">
        <f t="shared" si="4"/>
        <v>3.8361299999999998</v>
      </c>
      <c r="M10" s="19"/>
    </row>
    <row r="11" spans="1:13" x14ac:dyDescent="0.25">
      <c r="A11" s="47"/>
      <c r="B11" s="10"/>
      <c r="C11" s="11" t="s">
        <v>77</v>
      </c>
      <c r="D11" s="12"/>
      <c r="E11" s="47">
        <f t="shared" si="0"/>
        <v>0</v>
      </c>
      <c r="F11" s="10"/>
      <c r="G11" s="10"/>
      <c r="H11" s="34"/>
      <c r="I11" s="17" t="e">
        <f t="shared" si="1"/>
        <v>#DIV/0!</v>
      </c>
      <c r="J11" s="18">
        <f t="shared" si="2"/>
        <v>3.8361299999999998</v>
      </c>
      <c r="K11" s="18">
        <f t="shared" si="3"/>
        <v>0</v>
      </c>
      <c r="L11" s="69">
        <f t="shared" si="4"/>
        <v>3.8361299999999998</v>
      </c>
      <c r="M11" s="19"/>
    </row>
    <row r="12" spans="1:13" x14ac:dyDescent="0.25">
      <c r="A12" s="47"/>
      <c r="B12" s="10"/>
      <c r="C12" s="11" t="s">
        <v>77</v>
      </c>
      <c r="D12" s="12"/>
      <c r="E12" s="47">
        <f t="shared" si="0"/>
        <v>0</v>
      </c>
      <c r="F12" s="10"/>
      <c r="G12" s="10"/>
      <c r="H12" s="34"/>
      <c r="I12" s="17" t="e">
        <f t="shared" si="1"/>
        <v>#DIV/0!</v>
      </c>
      <c r="J12" s="18">
        <f t="shared" si="2"/>
        <v>3.8361299999999998</v>
      </c>
      <c r="K12" s="18">
        <f t="shared" si="3"/>
        <v>0</v>
      </c>
      <c r="L12" s="69">
        <f t="shared" si="4"/>
        <v>3.8361299999999998</v>
      </c>
      <c r="M12" s="19"/>
    </row>
    <row r="13" spans="1:13" x14ac:dyDescent="0.25">
      <c r="A13" s="47"/>
      <c r="B13" s="10"/>
      <c r="C13" s="11" t="s">
        <v>77</v>
      </c>
      <c r="D13" s="12"/>
      <c r="E13" s="47">
        <f t="shared" si="0"/>
        <v>0</v>
      </c>
      <c r="F13" s="10"/>
      <c r="G13" s="10"/>
      <c r="H13" s="34"/>
      <c r="I13" s="17" t="e">
        <f t="shared" si="1"/>
        <v>#DIV/0!</v>
      </c>
      <c r="J13" s="18">
        <f t="shared" si="2"/>
        <v>3.8361299999999998</v>
      </c>
      <c r="K13" s="18">
        <f t="shared" si="3"/>
        <v>0</v>
      </c>
      <c r="L13" s="69">
        <f t="shared" si="4"/>
        <v>3.8361299999999998</v>
      </c>
      <c r="M13" s="19"/>
    </row>
    <row r="14" spans="1:13" x14ac:dyDescent="0.25">
      <c r="A14" s="46"/>
      <c r="B14" s="10"/>
      <c r="C14" s="11" t="s">
        <v>77</v>
      </c>
      <c r="D14" s="12"/>
      <c r="E14" s="47">
        <f t="shared" si="0"/>
        <v>0</v>
      </c>
      <c r="F14" s="10"/>
      <c r="G14" s="10"/>
      <c r="H14" s="34"/>
      <c r="I14" s="17" t="e">
        <f t="shared" si="1"/>
        <v>#DIV/0!</v>
      </c>
      <c r="J14" s="18">
        <f t="shared" si="2"/>
        <v>3.8361299999999998</v>
      </c>
      <c r="K14" s="18">
        <f t="shared" si="3"/>
        <v>0</v>
      </c>
      <c r="L14" s="69">
        <f t="shared" si="4"/>
        <v>3.8361299999999998</v>
      </c>
      <c r="M14" s="19"/>
    </row>
    <row r="15" spans="1:13" x14ac:dyDescent="0.25">
      <c r="A15" s="46" t="s">
        <v>61</v>
      </c>
      <c r="B15" s="10"/>
      <c r="C15" s="11" t="s">
        <v>77</v>
      </c>
      <c r="D15" s="12"/>
      <c r="E15" s="47">
        <f t="shared" si="0"/>
        <v>0</v>
      </c>
      <c r="F15" s="10"/>
      <c r="G15" s="10"/>
      <c r="H15" s="34"/>
      <c r="I15" s="17" t="e">
        <f t="shared" si="1"/>
        <v>#DIV/0!</v>
      </c>
      <c r="J15" s="18">
        <f t="shared" si="2"/>
        <v>3.8361299999999998</v>
      </c>
      <c r="K15" s="18">
        <f t="shared" si="3"/>
        <v>0</v>
      </c>
      <c r="L15" s="69">
        <f t="shared" si="4"/>
        <v>3.8361299999999998</v>
      </c>
      <c r="M15" s="19"/>
    </row>
    <row r="16" spans="1:13" x14ac:dyDescent="0.25">
      <c r="A16" s="46"/>
      <c r="B16" s="10"/>
      <c r="C16" s="11" t="s">
        <v>77</v>
      </c>
      <c r="D16" s="12"/>
      <c r="E16" s="47">
        <f t="shared" si="0"/>
        <v>0</v>
      </c>
      <c r="F16" s="10"/>
      <c r="G16" s="10"/>
      <c r="H16" s="34"/>
      <c r="I16" s="17" t="e">
        <f t="shared" si="1"/>
        <v>#DIV/0!</v>
      </c>
      <c r="J16" s="18">
        <f t="shared" si="2"/>
        <v>3.8361299999999998</v>
      </c>
      <c r="K16" s="18">
        <f t="shared" si="3"/>
        <v>0</v>
      </c>
      <c r="L16" s="69">
        <f t="shared" si="4"/>
        <v>3.8361299999999998</v>
      </c>
      <c r="M16" s="19"/>
    </row>
    <row r="17" spans="1:13" x14ac:dyDescent="0.25">
      <c r="A17" s="46"/>
      <c r="B17" s="10"/>
      <c r="C17" s="11" t="s">
        <v>77</v>
      </c>
      <c r="D17" s="12"/>
      <c r="E17" s="47">
        <f t="shared" si="0"/>
        <v>0</v>
      </c>
      <c r="F17" s="10"/>
      <c r="G17" s="10"/>
      <c r="H17" s="34"/>
      <c r="I17" s="17" t="e">
        <f t="shared" si="1"/>
        <v>#DIV/0!</v>
      </c>
      <c r="J17" s="18">
        <f t="shared" si="2"/>
        <v>3.8361299999999998</v>
      </c>
      <c r="K17" s="18">
        <f t="shared" si="3"/>
        <v>0</v>
      </c>
      <c r="L17" s="69">
        <f t="shared" si="4"/>
        <v>3.8361299999999998</v>
      </c>
      <c r="M17" s="19"/>
    </row>
    <row r="18" spans="1:13" x14ac:dyDescent="0.25">
      <c r="A18" s="46"/>
      <c r="B18" s="10"/>
      <c r="C18" s="11" t="s">
        <v>77</v>
      </c>
      <c r="D18" s="12"/>
      <c r="E18" s="47">
        <f t="shared" si="0"/>
        <v>0</v>
      </c>
      <c r="F18" s="10"/>
      <c r="G18" s="10"/>
      <c r="H18" s="34"/>
      <c r="I18" s="17" t="e">
        <f t="shared" si="1"/>
        <v>#DIV/0!</v>
      </c>
      <c r="J18" s="18">
        <f t="shared" si="2"/>
        <v>3.8361299999999998</v>
      </c>
      <c r="K18" s="18">
        <f t="shared" si="3"/>
        <v>0</v>
      </c>
      <c r="L18" s="69">
        <f t="shared" si="4"/>
        <v>3.8361299999999998</v>
      </c>
      <c r="M18" s="19"/>
    </row>
    <row r="19" spans="1:13" x14ac:dyDescent="0.25">
      <c r="A19" s="10"/>
      <c r="B19" s="10"/>
      <c r="C19" s="11" t="s">
        <v>77</v>
      </c>
      <c r="D19" s="12"/>
      <c r="E19" s="47">
        <f t="shared" si="0"/>
        <v>0</v>
      </c>
      <c r="F19" s="10"/>
      <c r="G19" s="10"/>
      <c r="H19" s="34"/>
      <c r="I19" s="17" t="e">
        <f t="shared" si="1"/>
        <v>#DIV/0!</v>
      </c>
      <c r="J19" s="18">
        <f t="shared" si="2"/>
        <v>3.8361299999999998</v>
      </c>
      <c r="K19" s="18">
        <f t="shared" si="3"/>
        <v>0</v>
      </c>
      <c r="L19" s="69">
        <f t="shared" si="4"/>
        <v>3.8361299999999998</v>
      </c>
      <c r="M19" s="19"/>
    </row>
    <row r="20" spans="1:13" x14ac:dyDescent="0.25">
      <c r="A20" s="10"/>
      <c r="B20" s="10"/>
      <c r="C20" s="11" t="s">
        <v>77</v>
      </c>
      <c r="D20" s="12"/>
      <c r="E20" s="47">
        <f t="shared" si="0"/>
        <v>0</v>
      </c>
      <c r="F20" s="10"/>
      <c r="G20" s="10"/>
      <c r="H20" s="34"/>
      <c r="I20" s="17" t="e">
        <f t="shared" si="1"/>
        <v>#DIV/0!</v>
      </c>
      <c r="J20" s="18">
        <f t="shared" si="2"/>
        <v>3.8361299999999998</v>
      </c>
      <c r="K20" s="18">
        <f t="shared" si="3"/>
        <v>0</v>
      </c>
      <c r="L20" s="69">
        <f t="shared" si="4"/>
        <v>3.8361299999999998</v>
      </c>
      <c r="M20" s="19"/>
    </row>
    <row r="21" spans="1:13" x14ac:dyDescent="0.25">
      <c r="A21" s="10"/>
      <c r="B21" s="10"/>
      <c r="C21" s="11" t="s">
        <v>77</v>
      </c>
      <c r="D21" s="12"/>
      <c r="E21" s="47">
        <f t="shared" si="0"/>
        <v>0</v>
      </c>
      <c r="F21" s="10"/>
      <c r="G21" s="10"/>
      <c r="H21" s="34"/>
      <c r="I21" s="17" t="e">
        <f t="shared" si="1"/>
        <v>#DIV/0!</v>
      </c>
      <c r="J21" s="18">
        <f t="shared" si="2"/>
        <v>3.8361299999999998</v>
      </c>
      <c r="K21" s="18">
        <f t="shared" si="3"/>
        <v>0</v>
      </c>
      <c r="L21" s="69">
        <f t="shared" si="4"/>
        <v>3.8361299999999998</v>
      </c>
      <c r="M21" s="19"/>
    </row>
    <row r="22" spans="1:13" x14ac:dyDescent="0.25">
      <c r="A22" s="10"/>
      <c r="B22" s="10"/>
      <c r="C22" s="11" t="s">
        <v>77</v>
      </c>
      <c r="D22" s="12"/>
      <c r="E22" s="47">
        <f t="shared" si="0"/>
        <v>0</v>
      </c>
      <c r="F22" s="10"/>
      <c r="G22" s="10"/>
      <c r="H22" s="34"/>
      <c r="I22" s="17" t="e">
        <f t="shared" si="1"/>
        <v>#DIV/0!</v>
      </c>
      <c r="J22" s="18">
        <f t="shared" si="2"/>
        <v>3.8361299999999998</v>
      </c>
      <c r="K22" s="18">
        <f t="shared" si="3"/>
        <v>0</v>
      </c>
      <c r="L22" s="69">
        <f t="shared" si="4"/>
        <v>3.8361299999999998</v>
      </c>
      <c r="M22" s="19"/>
    </row>
    <row r="23" spans="1:13" x14ac:dyDescent="0.25">
      <c r="A23" s="10"/>
      <c r="B23" s="10"/>
      <c r="C23" s="11" t="s">
        <v>77</v>
      </c>
      <c r="D23" s="12"/>
      <c r="E23" s="47">
        <f t="shared" si="0"/>
        <v>0</v>
      </c>
      <c r="F23" s="10"/>
      <c r="G23" s="10"/>
      <c r="H23" s="34"/>
      <c r="I23" s="17" t="e">
        <f t="shared" si="1"/>
        <v>#DIV/0!</v>
      </c>
      <c r="J23" s="18">
        <f t="shared" si="2"/>
        <v>3.8361299999999998</v>
      </c>
      <c r="K23" s="18">
        <f t="shared" si="3"/>
        <v>0</v>
      </c>
      <c r="L23" s="69">
        <f t="shared" si="4"/>
        <v>3.8361299999999998</v>
      </c>
      <c r="M23" s="19"/>
    </row>
    <row r="24" spans="1:13" x14ac:dyDescent="0.25">
      <c r="A24" s="10"/>
      <c r="B24" s="10"/>
      <c r="C24" s="11" t="s">
        <v>77</v>
      </c>
      <c r="D24" s="12"/>
      <c r="E24" s="47">
        <f t="shared" si="0"/>
        <v>0</v>
      </c>
      <c r="F24" s="10"/>
      <c r="G24" s="10"/>
      <c r="H24" s="34"/>
      <c r="I24" s="17" t="e">
        <f t="shared" si="1"/>
        <v>#DIV/0!</v>
      </c>
      <c r="J24" s="18">
        <f t="shared" si="2"/>
        <v>3.8361299999999998</v>
      </c>
      <c r="K24" s="18">
        <f t="shared" si="3"/>
        <v>0</v>
      </c>
      <c r="L24" s="69">
        <f t="shared" si="4"/>
        <v>3.8361299999999998</v>
      </c>
      <c r="M24" s="19"/>
    </row>
    <row r="25" spans="1:13" x14ac:dyDescent="0.25">
      <c r="A25" s="10"/>
      <c r="B25" s="10"/>
      <c r="C25" s="11" t="s">
        <v>77</v>
      </c>
      <c r="D25" s="12"/>
      <c r="E25" s="47">
        <f t="shared" si="0"/>
        <v>0</v>
      </c>
      <c r="F25" s="10"/>
      <c r="G25" s="10"/>
      <c r="H25" s="34"/>
      <c r="I25" s="17" t="e">
        <f t="shared" si="1"/>
        <v>#DIV/0!</v>
      </c>
      <c r="J25" s="18">
        <f t="shared" si="2"/>
        <v>3.8361299999999998</v>
      </c>
      <c r="K25" s="18">
        <f t="shared" si="3"/>
        <v>0</v>
      </c>
      <c r="L25" s="69">
        <f t="shared" si="4"/>
        <v>3.8361299999999998</v>
      </c>
      <c r="M25" s="19"/>
    </row>
    <row r="28" spans="1:13" x14ac:dyDescent="0.25">
      <c r="G28" s="24" t="s">
        <v>111</v>
      </c>
    </row>
    <row r="29" spans="1:13" x14ac:dyDescent="0.25">
      <c r="B29" s="27" t="s">
        <v>19</v>
      </c>
      <c r="C29" s="39">
        <f>D29/80</f>
        <v>9.7500000000000003E-2</v>
      </c>
      <c r="D29" s="44">
        <v>7.8</v>
      </c>
      <c r="E29" t="s">
        <v>76</v>
      </c>
    </row>
    <row r="30" spans="1:13" x14ac:dyDescent="0.25">
      <c r="B30" s="27" t="s">
        <v>62</v>
      </c>
      <c r="C30" s="39">
        <f>D30*6</f>
        <v>0.10475999999999999</v>
      </c>
      <c r="D30" s="87">
        <f>E30+G30</f>
        <v>1.746E-2</v>
      </c>
      <c r="E30" s="87">
        <v>1.6320000000000001E-2</v>
      </c>
      <c r="G30">
        <v>1.14E-3</v>
      </c>
    </row>
    <row r="31" spans="1:13" x14ac:dyDescent="0.25">
      <c r="B31" s="27" t="s">
        <v>63</v>
      </c>
      <c r="C31" s="39">
        <f>D31*6</f>
        <v>1.1715599999999999</v>
      </c>
      <c r="D31" s="87">
        <f>E31+G31</f>
        <v>0.19525999999999999</v>
      </c>
      <c r="E31" s="87">
        <v>0.185</v>
      </c>
      <c r="G31">
        <v>1.0259999999999998E-2</v>
      </c>
    </row>
    <row r="32" spans="1:13" x14ac:dyDescent="0.25">
      <c r="B32" s="27" t="s">
        <v>21</v>
      </c>
      <c r="C32" s="39">
        <f>E32+G32</f>
        <v>0.39230999999999999</v>
      </c>
      <c r="D32" s="44"/>
      <c r="E32" s="87">
        <v>0.39</v>
      </c>
      <c r="G32">
        <v>2.31E-3</v>
      </c>
    </row>
    <row r="33" spans="2:4" x14ac:dyDescent="0.25">
      <c r="B33" s="27" t="s">
        <v>13</v>
      </c>
      <c r="C33" s="39">
        <v>0.6</v>
      </c>
      <c r="D33" s="44"/>
    </row>
    <row r="34" spans="2:4" x14ac:dyDescent="0.25">
      <c r="B34" s="27" t="s">
        <v>14</v>
      </c>
      <c r="C34" s="39">
        <f>D34/80</f>
        <v>0.75</v>
      </c>
      <c r="D34" s="44">
        <v>60</v>
      </c>
    </row>
    <row r="35" spans="2:4" x14ac:dyDescent="0.25">
      <c r="B35" s="27" t="s">
        <v>64</v>
      </c>
      <c r="C35" s="39">
        <f>D35*6</f>
        <v>0.72</v>
      </c>
      <c r="D35" s="44">
        <v>0.12</v>
      </c>
    </row>
    <row r="36" spans="2:4" x14ac:dyDescent="0.25">
      <c r="B36" s="43" t="s">
        <v>65</v>
      </c>
      <c r="C36" s="39"/>
      <c r="D36" s="44"/>
    </row>
    <row r="37" spans="2:4" x14ac:dyDescent="0.25">
      <c r="C37" s="39"/>
      <c r="D37" s="44"/>
    </row>
    <row r="38" spans="2:4" x14ac:dyDescent="0.25">
      <c r="C38" s="39"/>
      <c r="D38" s="44"/>
    </row>
    <row r="39" spans="2:4" x14ac:dyDescent="0.25">
      <c r="C39" s="38">
        <f>SUM(C29:C38)</f>
        <v>3.8361299999999998</v>
      </c>
      <c r="D39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2:L28"/>
  <sheetViews>
    <sheetView workbookViewId="0">
      <selection activeCell="L4" sqref="L4"/>
    </sheetView>
  </sheetViews>
  <sheetFormatPr defaultRowHeight="15" x14ac:dyDescent="0.25"/>
  <cols>
    <col min="1" max="1" width="10.5703125" customWidth="1"/>
    <col min="2" max="2" width="63.5703125" bestFit="1" customWidth="1"/>
    <col min="3" max="3" width="9" style="24" customWidth="1"/>
    <col min="4" max="4" width="11.7109375" style="24" customWidth="1"/>
    <col min="8" max="8" width="8.85546875" style="25"/>
    <col min="9" max="9" width="18.140625" style="26" customWidth="1"/>
    <col min="10" max="10" width="12.28515625" style="26" bestFit="1" customWidth="1"/>
    <col min="11" max="11" width="20.85546875" style="31" customWidth="1"/>
    <col min="12" max="12" width="23.85546875" bestFit="1" customWidth="1"/>
  </cols>
  <sheetData>
    <row r="2" spans="1:12" x14ac:dyDescent="0.25">
      <c r="A2" s="1"/>
      <c r="B2" s="1"/>
      <c r="C2" s="2"/>
      <c r="D2" s="2"/>
      <c r="E2" s="1"/>
      <c r="F2" s="1"/>
      <c r="G2" s="1"/>
      <c r="H2" s="3"/>
      <c r="I2" s="4"/>
      <c r="J2" s="4"/>
      <c r="K2" s="28"/>
    </row>
    <row r="3" spans="1:12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16</v>
      </c>
      <c r="F3" s="5" t="s">
        <v>4</v>
      </c>
      <c r="G3" s="32"/>
      <c r="H3" s="7" t="s">
        <v>6</v>
      </c>
      <c r="I3" s="8" t="s">
        <v>49</v>
      </c>
      <c r="J3" s="8" t="s">
        <v>88</v>
      </c>
      <c r="K3" s="29" t="s">
        <v>9</v>
      </c>
      <c r="L3" s="9" t="s">
        <v>10</v>
      </c>
    </row>
    <row r="4" spans="1:12" x14ac:dyDescent="0.25">
      <c r="A4" s="10"/>
      <c r="C4" s="11" t="s">
        <v>50</v>
      </c>
      <c r="D4" s="12"/>
      <c r="E4" s="50"/>
      <c r="F4" s="15"/>
      <c r="G4" s="33"/>
      <c r="H4" s="17" t="e">
        <f t="shared" ref="H4:H20" si="0">(D4-I4)/D4</f>
        <v>#DIV/0!</v>
      </c>
      <c r="I4" s="18">
        <f>J4+K4</f>
        <v>6.0805824156862753</v>
      </c>
      <c r="J4" s="18">
        <f>L4/83.3333333333</f>
        <v>0</v>
      </c>
      <c r="K4" s="30">
        <f>$C$28</f>
        <v>6.0805824156862753</v>
      </c>
      <c r="L4" s="19"/>
    </row>
    <row r="5" spans="1:12" x14ac:dyDescent="0.25">
      <c r="A5" s="10"/>
      <c r="B5" s="10"/>
      <c r="C5" s="11" t="s">
        <v>50</v>
      </c>
      <c r="D5" s="12"/>
      <c r="E5" s="20"/>
      <c r="F5" s="15"/>
      <c r="G5" s="33"/>
      <c r="H5" s="17" t="e">
        <f t="shared" si="0"/>
        <v>#DIV/0!</v>
      </c>
      <c r="I5" s="18">
        <f t="shared" ref="I5:I20" si="1">J5+K5</f>
        <v>6.0805824156862753</v>
      </c>
      <c r="J5" s="18">
        <f t="shared" ref="J5:J20" si="2">L5/83.3333333333</f>
        <v>0</v>
      </c>
      <c r="K5" s="30">
        <f t="shared" ref="K5:K20" si="3">$C$28</f>
        <v>6.0805824156862753</v>
      </c>
      <c r="L5" s="19"/>
    </row>
    <row r="6" spans="1:12" x14ac:dyDescent="0.25">
      <c r="A6" s="10"/>
      <c r="B6" s="10"/>
      <c r="C6" s="11" t="s">
        <v>50</v>
      </c>
      <c r="D6" s="12"/>
      <c r="E6" s="20"/>
      <c r="F6" s="14"/>
      <c r="G6" s="34"/>
      <c r="H6" s="17" t="e">
        <f t="shared" si="0"/>
        <v>#DIV/0!</v>
      </c>
      <c r="I6" s="18">
        <f t="shared" si="1"/>
        <v>6.0805824156862753</v>
      </c>
      <c r="J6" s="18">
        <f t="shared" si="2"/>
        <v>0</v>
      </c>
      <c r="K6" s="30">
        <f t="shared" si="3"/>
        <v>6.0805824156862753</v>
      </c>
      <c r="L6" s="19"/>
    </row>
    <row r="7" spans="1:12" x14ac:dyDescent="0.25">
      <c r="A7" s="10"/>
      <c r="B7" s="10"/>
      <c r="C7" s="11" t="s">
        <v>50</v>
      </c>
      <c r="D7" s="12"/>
      <c r="E7" s="20"/>
      <c r="F7" s="14"/>
      <c r="G7" s="34"/>
      <c r="H7" s="17" t="e">
        <f t="shared" si="0"/>
        <v>#DIV/0!</v>
      </c>
      <c r="I7" s="18">
        <f t="shared" si="1"/>
        <v>6.0805824156862753</v>
      </c>
      <c r="J7" s="18">
        <f t="shared" si="2"/>
        <v>0</v>
      </c>
      <c r="K7" s="30">
        <f t="shared" si="3"/>
        <v>6.0805824156862753</v>
      </c>
      <c r="L7" s="19"/>
    </row>
    <row r="8" spans="1:12" x14ac:dyDescent="0.25">
      <c r="A8" s="21"/>
      <c r="B8" s="21"/>
      <c r="C8" s="11" t="s">
        <v>50</v>
      </c>
      <c r="D8" s="11"/>
      <c r="E8" s="51"/>
      <c r="F8" s="10"/>
      <c r="G8" s="34"/>
      <c r="H8" s="17" t="e">
        <f t="shared" si="0"/>
        <v>#DIV/0!</v>
      </c>
      <c r="I8" s="18">
        <f t="shared" si="1"/>
        <v>6.0805824156862753</v>
      </c>
      <c r="J8" s="18">
        <f t="shared" si="2"/>
        <v>0</v>
      </c>
      <c r="K8" s="30">
        <f t="shared" si="3"/>
        <v>6.0805824156862753</v>
      </c>
      <c r="L8" s="19"/>
    </row>
    <row r="9" spans="1:12" x14ac:dyDescent="0.25">
      <c r="A9" s="10"/>
      <c r="B9" s="10"/>
      <c r="C9" s="11" t="s">
        <v>50</v>
      </c>
      <c r="D9" s="11"/>
      <c r="E9" s="14"/>
      <c r="F9" s="10"/>
      <c r="G9" s="34"/>
      <c r="H9" s="17" t="e">
        <f t="shared" si="0"/>
        <v>#DIV/0!</v>
      </c>
      <c r="I9" s="18">
        <f t="shared" si="1"/>
        <v>6.0805824156862753</v>
      </c>
      <c r="J9" s="18">
        <f t="shared" si="2"/>
        <v>0</v>
      </c>
      <c r="K9" s="30">
        <f t="shared" si="3"/>
        <v>6.0805824156862753</v>
      </c>
      <c r="L9" s="19"/>
    </row>
    <row r="10" spans="1:12" x14ac:dyDescent="0.25">
      <c r="A10" s="10"/>
      <c r="B10" s="10"/>
      <c r="C10" s="11" t="s">
        <v>50</v>
      </c>
      <c r="D10" s="11"/>
      <c r="E10" s="10"/>
      <c r="F10" s="10"/>
      <c r="G10" s="34"/>
      <c r="H10" s="17" t="e">
        <f t="shared" si="0"/>
        <v>#DIV/0!</v>
      </c>
      <c r="I10" s="18">
        <f t="shared" si="1"/>
        <v>6.0805824156862753</v>
      </c>
      <c r="J10" s="18">
        <f t="shared" si="2"/>
        <v>0</v>
      </c>
      <c r="K10" s="30">
        <f t="shared" si="3"/>
        <v>6.0805824156862753</v>
      </c>
      <c r="L10" s="19"/>
    </row>
    <row r="11" spans="1:12" x14ac:dyDescent="0.25">
      <c r="A11" s="10"/>
      <c r="B11" s="10"/>
      <c r="C11" s="11" t="s">
        <v>50</v>
      </c>
      <c r="D11" s="11"/>
      <c r="E11" s="10"/>
      <c r="F11" s="10"/>
      <c r="G11" s="34"/>
      <c r="H11" s="17" t="e">
        <f t="shared" si="0"/>
        <v>#DIV/0!</v>
      </c>
      <c r="I11" s="18">
        <f t="shared" si="1"/>
        <v>6.0805824156862753</v>
      </c>
      <c r="J11" s="18">
        <f t="shared" si="2"/>
        <v>0</v>
      </c>
      <c r="K11" s="30">
        <f t="shared" si="3"/>
        <v>6.0805824156862753</v>
      </c>
      <c r="L11" s="19"/>
    </row>
    <row r="12" spans="1:12" x14ac:dyDescent="0.25">
      <c r="A12" s="10"/>
      <c r="B12" s="10"/>
      <c r="C12" s="11" t="s">
        <v>50</v>
      </c>
      <c r="D12" s="11"/>
      <c r="E12" s="10"/>
      <c r="F12" s="10"/>
      <c r="G12" s="34"/>
      <c r="H12" s="17" t="e">
        <f t="shared" si="0"/>
        <v>#DIV/0!</v>
      </c>
      <c r="I12" s="18">
        <f t="shared" si="1"/>
        <v>6.0805824156862753</v>
      </c>
      <c r="J12" s="18">
        <f t="shared" si="2"/>
        <v>0</v>
      </c>
      <c r="K12" s="30">
        <f t="shared" si="3"/>
        <v>6.0805824156862753</v>
      </c>
      <c r="L12" s="19"/>
    </row>
    <row r="13" spans="1:12" x14ac:dyDescent="0.25">
      <c r="A13" s="10"/>
      <c r="B13" s="10"/>
      <c r="C13" s="11" t="s">
        <v>50</v>
      </c>
      <c r="D13" s="11"/>
      <c r="E13" s="10"/>
      <c r="F13" s="10"/>
      <c r="G13" s="34"/>
      <c r="H13" s="17" t="e">
        <f t="shared" si="0"/>
        <v>#DIV/0!</v>
      </c>
      <c r="I13" s="18">
        <f t="shared" si="1"/>
        <v>6.0805824156862753</v>
      </c>
      <c r="J13" s="18">
        <f t="shared" si="2"/>
        <v>0</v>
      </c>
      <c r="K13" s="30">
        <f t="shared" si="3"/>
        <v>6.0805824156862753</v>
      </c>
      <c r="L13" s="19"/>
    </row>
    <row r="14" spans="1:12" x14ac:dyDescent="0.25">
      <c r="A14" s="10"/>
      <c r="B14" s="10"/>
      <c r="C14" s="11" t="s">
        <v>50</v>
      </c>
      <c r="D14" s="11"/>
      <c r="E14" s="10"/>
      <c r="F14" s="10"/>
      <c r="G14" s="34"/>
      <c r="H14" s="17" t="e">
        <f t="shared" si="0"/>
        <v>#DIV/0!</v>
      </c>
      <c r="I14" s="18">
        <f t="shared" si="1"/>
        <v>6.0805824156862753</v>
      </c>
      <c r="J14" s="18">
        <f t="shared" si="2"/>
        <v>0</v>
      </c>
      <c r="K14" s="30">
        <f t="shared" si="3"/>
        <v>6.0805824156862753</v>
      </c>
      <c r="L14" s="19"/>
    </row>
    <row r="15" spans="1:12" x14ac:dyDescent="0.25">
      <c r="A15" s="10"/>
      <c r="B15" s="10"/>
      <c r="C15" s="11" t="s">
        <v>50</v>
      </c>
      <c r="D15" s="11"/>
      <c r="E15" s="10"/>
      <c r="F15" s="10"/>
      <c r="G15" s="34"/>
      <c r="H15" s="17" t="e">
        <f t="shared" si="0"/>
        <v>#DIV/0!</v>
      </c>
      <c r="I15" s="18">
        <f t="shared" si="1"/>
        <v>6.0805824156862753</v>
      </c>
      <c r="J15" s="18">
        <f t="shared" si="2"/>
        <v>0</v>
      </c>
      <c r="K15" s="30">
        <f t="shared" si="3"/>
        <v>6.0805824156862753</v>
      </c>
      <c r="L15" s="19"/>
    </row>
    <row r="16" spans="1:12" x14ac:dyDescent="0.25">
      <c r="A16" s="10"/>
      <c r="B16" s="10"/>
      <c r="C16" s="11" t="s">
        <v>50</v>
      </c>
      <c r="D16" s="11"/>
      <c r="E16" s="10"/>
      <c r="F16" s="10"/>
      <c r="G16" s="34"/>
      <c r="H16" s="17" t="e">
        <f t="shared" si="0"/>
        <v>#DIV/0!</v>
      </c>
      <c r="I16" s="18">
        <f t="shared" si="1"/>
        <v>6.0805824156862753</v>
      </c>
      <c r="J16" s="18">
        <f t="shared" si="2"/>
        <v>0</v>
      </c>
      <c r="K16" s="30">
        <f t="shared" si="3"/>
        <v>6.0805824156862753</v>
      </c>
      <c r="L16" s="19"/>
    </row>
    <row r="17" spans="1:12" x14ac:dyDescent="0.25">
      <c r="A17" s="10"/>
      <c r="B17" s="10"/>
      <c r="C17" s="11" t="s">
        <v>50</v>
      </c>
      <c r="D17" s="11"/>
      <c r="E17" s="10"/>
      <c r="F17" s="10"/>
      <c r="G17" s="34"/>
      <c r="H17" s="17" t="e">
        <f t="shared" si="0"/>
        <v>#DIV/0!</v>
      </c>
      <c r="I17" s="18">
        <f t="shared" si="1"/>
        <v>6.0805824156862753</v>
      </c>
      <c r="J17" s="18">
        <f t="shared" si="2"/>
        <v>0</v>
      </c>
      <c r="K17" s="30">
        <f t="shared" si="3"/>
        <v>6.0805824156862753</v>
      </c>
      <c r="L17" s="19"/>
    </row>
    <row r="18" spans="1:12" x14ac:dyDescent="0.25">
      <c r="A18" s="10"/>
      <c r="B18" s="10"/>
      <c r="C18" s="11" t="s">
        <v>50</v>
      </c>
      <c r="D18" s="11"/>
      <c r="E18" s="10"/>
      <c r="F18" s="10"/>
      <c r="G18" s="34"/>
      <c r="H18" s="17" t="e">
        <f t="shared" si="0"/>
        <v>#DIV/0!</v>
      </c>
      <c r="I18" s="18">
        <f t="shared" si="1"/>
        <v>6.0805824156862753</v>
      </c>
      <c r="J18" s="18">
        <f t="shared" si="2"/>
        <v>0</v>
      </c>
      <c r="K18" s="30">
        <f t="shared" si="3"/>
        <v>6.0805824156862753</v>
      </c>
      <c r="L18" s="19"/>
    </row>
    <row r="19" spans="1:12" x14ac:dyDescent="0.25">
      <c r="A19" s="10"/>
      <c r="B19" s="10"/>
      <c r="C19" s="11" t="s">
        <v>50</v>
      </c>
      <c r="D19" s="11"/>
      <c r="E19" s="10"/>
      <c r="F19" s="10"/>
      <c r="G19" s="34"/>
      <c r="H19" s="17" t="e">
        <f t="shared" si="0"/>
        <v>#DIV/0!</v>
      </c>
      <c r="I19" s="18">
        <f t="shared" si="1"/>
        <v>6.0805824156862753</v>
      </c>
      <c r="J19" s="18">
        <f t="shared" si="2"/>
        <v>0</v>
      </c>
      <c r="K19" s="30">
        <f t="shared" si="3"/>
        <v>6.0805824156862753</v>
      </c>
      <c r="L19" s="19"/>
    </row>
    <row r="20" spans="1:12" x14ac:dyDescent="0.25">
      <c r="A20" s="10"/>
      <c r="B20" s="10"/>
      <c r="C20" s="11" t="s">
        <v>50</v>
      </c>
      <c r="D20" s="11"/>
      <c r="E20" s="10"/>
      <c r="F20" s="10"/>
      <c r="G20" s="34"/>
      <c r="H20" s="17" t="e">
        <f t="shared" si="0"/>
        <v>#DIV/0!</v>
      </c>
      <c r="I20" s="18">
        <f t="shared" si="1"/>
        <v>6.0805824156862753</v>
      </c>
      <c r="J20" s="18">
        <f t="shared" si="2"/>
        <v>0</v>
      </c>
      <c r="K20" s="30">
        <f t="shared" si="3"/>
        <v>6.0805824156862753</v>
      </c>
      <c r="L20" s="19"/>
    </row>
    <row r="21" spans="1:12" x14ac:dyDescent="0.25">
      <c r="G21" s="24" t="s">
        <v>111</v>
      </c>
    </row>
    <row r="22" spans="1:12" x14ac:dyDescent="0.25">
      <c r="B22" s="27" t="s">
        <v>19</v>
      </c>
      <c r="C22" s="39">
        <f>(D22/432)*12</f>
        <v>0.22083333333333333</v>
      </c>
      <c r="D22" s="19">
        <v>7.95</v>
      </c>
      <c r="E22" t="s">
        <v>23</v>
      </c>
    </row>
    <row r="23" spans="1:12" x14ac:dyDescent="0.25">
      <c r="B23" s="27" t="s">
        <v>79</v>
      </c>
      <c r="C23" s="39">
        <f>D23*6</f>
        <v>0.51738720000000005</v>
      </c>
      <c r="D23" s="88">
        <f>F23+G23</f>
        <v>8.6231200000000008E-2</v>
      </c>
      <c r="E23" t="s">
        <v>38</v>
      </c>
      <c r="F23" s="19">
        <v>8.5000000000000006E-2</v>
      </c>
      <c r="G23">
        <v>1.2312E-3</v>
      </c>
    </row>
    <row r="24" spans="1:12" x14ac:dyDescent="0.25">
      <c r="B24" s="27" t="s">
        <v>78</v>
      </c>
      <c r="C24" s="39">
        <f>D24*6</f>
        <v>2.4676560000000003</v>
      </c>
      <c r="D24" s="88">
        <f>F24+G24</f>
        <v>0.41127600000000003</v>
      </c>
      <c r="E24" t="s">
        <v>40</v>
      </c>
      <c r="F24" s="19">
        <v>0.39600000000000002</v>
      </c>
      <c r="G24">
        <v>1.5276E-2</v>
      </c>
    </row>
    <row r="25" spans="1:12" x14ac:dyDescent="0.25">
      <c r="B25" s="27" t="s">
        <v>21</v>
      </c>
      <c r="C25" s="39">
        <v>0.39</v>
      </c>
      <c r="D25" s="88">
        <f>F25+G25</f>
        <v>0.52231000000000005</v>
      </c>
      <c r="E25" t="s">
        <v>47</v>
      </c>
      <c r="F25" s="19">
        <v>0.52</v>
      </c>
      <c r="G25">
        <v>2.31E-3</v>
      </c>
    </row>
    <row r="26" spans="1:12" x14ac:dyDescent="0.25">
      <c r="B26" s="27" t="s">
        <v>13</v>
      </c>
      <c r="C26" s="39">
        <f>D26*12</f>
        <v>0.72</v>
      </c>
      <c r="D26" s="19">
        <v>0.06</v>
      </c>
      <c r="E26" t="s">
        <v>41</v>
      </c>
    </row>
    <row r="27" spans="1:12" x14ac:dyDescent="0.25">
      <c r="B27" s="27" t="s">
        <v>14</v>
      </c>
      <c r="C27" s="39">
        <f>D27/34</f>
        <v>1.7647058823529411</v>
      </c>
      <c r="D27" s="19">
        <v>60</v>
      </c>
      <c r="E27" t="s">
        <v>23</v>
      </c>
    </row>
    <row r="28" spans="1:12" x14ac:dyDescent="0.25">
      <c r="B28" s="27"/>
      <c r="C28" s="8">
        <f>SUM(C22:C27)</f>
        <v>6.0805824156862753</v>
      </c>
      <c r="D28"/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6F33-0526-45D5-B459-26585FDF82B4}">
  <sheetPr codeName="Sheet10"/>
  <dimension ref="A2:L30"/>
  <sheetViews>
    <sheetView workbookViewId="0">
      <selection activeCell="C23" sqref="C23"/>
    </sheetView>
  </sheetViews>
  <sheetFormatPr defaultRowHeight="15" x14ac:dyDescent="0.25"/>
  <cols>
    <col min="1" max="1" width="10.5703125" customWidth="1"/>
    <col min="2" max="2" width="63.5703125" bestFit="1" customWidth="1"/>
    <col min="3" max="3" width="15" style="24" customWidth="1"/>
    <col min="4" max="4" width="11.7109375" style="24" customWidth="1"/>
    <col min="6" max="6" width="24.85546875" customWidth="1"/>
    <col min="8" max="8" width="9.140625" style="25"/>
    <col min="9" max="9" width="18.140625" style="26" customWidth="1"/>
    <col min="10" max="10" width="18.7109375" style="26" bestFit="1" customWidth="1"/>
    <col min="11" max="11" width="20.85546875" style="31" customWidth="1"/>
    <col min="12" max="12" width="23.85546875" bestFit="1" customWidth="1"/>
  </cols>
  <sheetData>
    <row r="2" spans="1:12" x14ac:dyDescent="0.25">
      <c r="A2" s="1"/>
      <c r="B2" s="1"/>
      <c r="C2" s="2"/>
      <c r="D2" s="2"/>
      <c r="E2" s="1"/>
      <c r="F2" s="1"/>
      <c r="G2" s="1"/>
      <c r="H2" s="3"/>
      <c r="I2" s="4"/>
      <c r="J2" s="4"/>
      <c r="K2" s="28"/>
    </row>
    <row r="3" spans="1:12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16</v>
      </c>
      <c r="F3" s="5" t="s">
        <v>17</v>
      </c>
      <c r="G3" s="32"/>
      <c r="H3" s="7" t="s">
        <v>6</v>
      </c>
      <c r="I3" s="8" t="s">
        <v>90</v>
      </c>
      <c r="J3" s="8" t="s">
        <v>89</v>
      </c>
      <c r="K3" s="29" t="s">
        <v>9</v>
      </c>
      <c r="L3" s="9" t="s">
        <v>10</v>
      </c>
    </row>
    <row r="4" spans="1:12" x14ac:dyDescent="0.25">
      <c r="A4" s="10"/>
      <c r="C4" s="11" t="s">
        <v>83</v>
      </c>
      <c r="D4" s="12"/>
      <c r="E4" s="50"/>
      <c r="F4" s="14"/>
      <c r="G4" s="33"/>
      <c r="H4" s="17" t="e">
        <f t="shared" ref="H4:H20" si="0">(D4-I4)/D4</f>
        <v>#DIV/0!</v>
      </c>
      <c r="I4" s="18">
        <f>K4+J4</f>
        <v>2.5460000000000003</v>
      </c>
      <c r="J4" s="18">
        <f>L4*0.00308</f>
        <v>0</v>
      </c>
      <c r="K4" s="30">
        <f>$C$29</f>
        <v>2.5460000000000003</v>
      </c>
      <c r="L4" s="19"/>
    </row>
    <row r="5" spans="1:12" x14ac:dyDescent="0.25">
      <c r="A5" s="10"/>
      <c r="B5" s="10"/>
      <c r="C5" s="11" t="s">
        <v>83</v>
      </c>
      <c r="D5" s="12"/>
      <c r="E5" s="20"/>
      <c r="F5" s="10"/>
      <c r="G5" s="33"/>
      <c r="H5" s="17" t="e">
        <f t="shared" si="0"/>
        <v>#DIV/0!</v>
      </c>
      <c r="I5" s="18">
        <f t="shared" ref="I5:I20" si="1">K5+J5</f>
        <v>2.5460000000000003</v>
      </c>
      <c r="J5" s="18">
        <f t="shared" ref="J5:J20" si="2">L5*0.00308</f>
        <v>0</v>
      </c>
      <c r="K5" s="30">
        <f t="shared" ref="K5:K20" si="3">$C$29</f>
        <v>2.5460000000000003</v>
      </c>
      <c r="L5" s="19"/>
    </row>
    <row r="6" spans="1:12" x14ac:dyDescent="0.25">
      <c r="A6" s="10"/>
      <c r="B6" s="10"/>
      <c r="C6" s="11" t="s">
        <v>83</v>
      </c>
      <c r="D6" s="12"/>
      <c r="E6" s="20"/>
      <c r="F6" s="10"/>
      <c r="G6" s="34"/>
      <c r="H6" s="17" t="e">
        <f t="shared" si="0"/>
        <v>#DIV/0!</v>
      </c>
      <c r="I6" s="18">
        <f t="shared" si="1"/>
        <v>2.5460000000000003</v>
      </c>
      <c r="J6" s="18">
        <f t="shared" si="2"/>
        <v>0</v>
      </c>
      <c r="K6" s="30">
        <f t="shared" si="3"/>
        <v>2.5460000000000003</v>
      </c>
      <c r="L6" s="19"/>
    </row>
    <row r="7" spans="1:12" x14ac:dyDescent="0.25">
      <c r="A7" s="10"/>
      <c r="B7" s="10"/>
      <c r="C7" s="11" t="s">
        <v>83</v>
      </c>
      <c r="D7" s="12"/>
      <c r="E7" s="20"/>
      <c r="F7" s="10"/>
      <c r="G7" s="34"/>
      <c r="H7" s="17" t="e">
        <f t="shared" si="0"/>
        <v>#DIV/0!</v>
      </c>
      <c r="I7" s="18">
        <f t="shared" si="1"/>
        <v>2.5460000000000003</v>
      </c>
      <c r="J7" s="18">
        <f t="shared" si="2"/>
        <v>0</v>
      </c>
      <c r="K7" s="30">
        <f t="shared" si="3"/>
        <v>2.5460000000000003</v>
      </c>
      <c r="L7" s="19"/>
    </row>
    <row r="8" spans="1:12" x14ac:dyDescent="0.25">
      <c r="A8" s="21"/>
      <c r="B8" s="21"/>
      <c r="C8" s="11" t="s">
        <v>83</v>
      </c>
      <c r="D8" s="11"/>
      <c r="E8" s="51"/>
      <c r="F8" s="10"/>
      <c r="G8" s="34"/>
      <c r="H8" s="17" t="e">
        <f t="shared" si="0"/>
        <v>#DIV/0!</v>
      </c>
      <c r="I8" s="18">
        <f t="shared" si="1"/>
        <v>2.5460000000000003</v>
      </c>
      <c r="J8" s="18">
        <f t="shared" si="2"/>
        <v>0</v>
      </c>
      <c r="K8" s="30">
        <f t="shared" si="3"/>
        <v>2.5460000000000003</v>
      </c>
      <c r="L8" s="19"/>
    </row>
    <row r="9" spans="1:12" x14ac:dyDescent="0.25">
      <c r="A9" s="10"/>
      <c r="B9" s="10"/>
      <c r="C9" s="11" t="s">
        <v>83</v>
      </c>
      <c r="D9" s="11"/>
      <c r="E9" s="14"/>
      <c r="F9" s="10"/>
      <c r="G9" s="34"/>
      <c r="H9" s="17" t="e">
        <f t="shared" si="0"/>
        <v>#DIV/0!</v>
      </c>
      <c r="I9" s="18">
        <f t="shared" si="1"/>
        <v>2.5460000000000003</v>
      </c>
      <c r="J9" s="18">
        <f t="shared" si="2"/>
        <v>0</v>
      </c>
      <c r="K9" s="30">
        <f t="shared" si="3"/>
        <v>2.5460000000000003</v>
      </c>
      <c r="L9" s="19"/>
    </row>
    <row r="10" spans="1:12" x14ac:dyDescent="0.25">
      <c r="A10" s="10"/>
      <c r="B10" s="10"/>
      <c r="C10" s="11" t="s">
        <v>83</v>
      </c>
      <c r="D10" s="11"/>
      <c r="E10" s="10"/>
      <c r="F10" s="10"/>
      <c r="G10" s="34"/>
      <c r="H10" s="17" t="e">
        <f t="shared" si="0"/>
        <v>#DIV/0!</v>
      </c>
      <c r="I10" s="18">
        <f t="shared" si="1"/>
        <v>2.5460000000000003</v>
      </c>
      <c r="J10" s="18">
        <f t="shared" si="2"/>
        <v>0</v>
      </c>
      <c r="K10" s="30">
        <f t="shared" si="3"/>
        <v>2.5460000000000003</v>
      </c>
      <c r="L10" s="19"/>
    </row>
    <row r="11" spans="1:12" x14ac:dyDescent="0.25">
      <c r="A11" s="10"/>
      <c r="B11" s="10"/>
      <c r="C11" s="11" t="s">
        <v>83</v>
      </c>
      <c r="D11" s="11"/>
      <c r="E11" s="10"/>
      <c r="F11" s="10"/>
      <c r="G11" s="34"/>
      <c r="H11" s="17" t="e">
        <f t="shared" si="0"/>
        <v>#DIV/0!</v>
      </c>
      <c r="I11" s="18">
        <f t="shared" si="1"/>
        <v>2.5460000000000003</v>
      </c>
      <c r="J11" s="18">
        <f t="shared" si="2"/>
        <v>0</v>
      </c>
      <c r="K11" s="30">
        <f t="shared" si="3"/>
        <v>2.5460000000000003</v>
      </c>
      <c r="L11" s="19"/>
    </row>
    <row r="12" spans="1:12" x14ac:dyDescent="0.25">
      <c r="A12" s="10"/>
      <c r="B12" s="10"/>
      <c r="C12" s="11" t="s">
        <v>83</v>
      </c>
      <c r="D12" s="11"/>
      <c r="E12" s="10"/>
      <c r="F12" s="10"/>
      <c r="G12" s="34"/>
      <c r="H12" s="17" t="e">
        <f t="shared" si="0"/>
        <v>#DIV/0!</v>
      </c>
      <c r="I12" s="18">
        <f t="shared" si="1"/>
        <v>2.5460000000000003</v>
      </c>
      <c r="J12" s="18">
        <f t="shared" si="2"/>
        <v>0</v>
      </c>
      <c r="K12" s="30">
        <f t="shared" si="3"/>
        <v>2.5460000000000003</v>
      </c>
      <c r="L12" s="19"/>
    </row>
    <row r="13" spans="1:12" x14ac:dyDescent="0.25">
      <c r="A13" s="10"/>
      <c r="B13" s="10"/>
      <c r="C13" s="11" t="s">
        <v>83</v>
      </c>
      <c r="D13" s="11"/>
      <c r="E13" s="10"/>
      <c r="F13" s="10"/>
      <c r="G13" s="34"/>
      <c r="H13" s="17" t="e">
        <f t="shared" si="0"/>
        <v>#DIV/0!</v>
      </c>
      <c r="I13" s="18">
        <f t="shared" si="1"/>
        <v>2.5460000000000003</v>
      </c>
      <c r="J13" s="18">
        <f t="shared" si="2"/>
        <v>0</v>
      </c>
      <c r="K13" s="30">
        <f t="shared" si="3"/>
        <v>2.5460000000000003</v>
      </c>
      <c r="L13" s="19"/>
    </row>
    <row r="14" spans="1:12" x14ac:dyDescent="0.25">
      <c r="A14" s="10"/>
      <c r="B14" s="10"/>
      <c r="C14" s="11" t="s">
        <v>83</v>
      </c>
      <c r="D14" s="11"/>
      <c r="E14" s="10"/>
      <c r="F14" s="10"/>
      <c r="G14" s="34"/>
      <c r="H14" s="17" t="e">
        <f t="shared" si="0"/>
        <v>#DIV/0!</v>
      </c>
      <c r="I14" s="18">
        <f t="shared" si="1"/>
        <v>2.5460000000000003</v>
      </c>
      <c r="J14" s="18">
        <f t="shared" si="2"/>
        <v>0</v>
      </c>
      <c r="K14" s="30">
        <f t="shared" si="3"/>
        <v>2.5460000000000003</v>
      </c>
      <c r="L14" s="19"/>
    </row>
    <row r="15" spans="1:12" x14ac:dyDescent="0.25">
      <c r="A15" s="10"/>
      <c r="B15" s="10"/>
      <c r="C15" s="11" t="s">
        <v>83</v>
      </c>
      <c r="D15" s="11"/>
      <c r="E15" s="10"/>
      <c r="F15" s="10"/>
      <c r="G15" s="34"/>
      <c r="H15" s="17" t="e">
        <f t="shared" si="0"/>
        <v>#DIV/0!</v>
      </c>
      <c r="I15" s="18">
        <f t="shared" si="1"/>
        <v>2.5460000000000003</v>
      </c>
      <c r="J15" s="18">
        <f t="shared" si="2"/>
        <v>0</v>
      </c>
      <c r="K15" s="30">
        <f t="shared" si="3"/>
        <v>2.5460000000000003</v>
      </c>
      <c r="L15" s="19"/>
    </row>
    <row r="16" spans="1:12" x14ac:dyDescent="0.25">
      <c r="A16" s="10"/>
      <c r="B16" s="10"/>
      <c r="C16" s="11" t="s">
        <v>83</v>
      </c>
      <c r="D16" s="11"/>
      <c r="E16" s="10"/>
      <c r="F16" s="10"/>
      <c r="G16" s="34"/>
      <c r="H16" s="17" t="e">
        <f t="shared" si="0"/>
        <v>#DIV/0!</v>
      </c>
      <c r="I16" s="18">
        <f t="shared" si="1"/>
        <v>2.5460000000000003</v>
      </c>
      <c r="J16" s="18">
        <f t="shared" si="2"/>
        <v>0</v>
      </c>
      <c r="K16" s="30">
        <f t="shared" si="3"/>
        <v>2.5460000000000003</v>
      </c>
      <c r="L16" s="19"/>
    </row>
    <row r="17" spans="1:12" x14ac:dyDescent="0.25">
      <c r="A17" s="10"/>
      <c r="B17" s="10"/>
      <c r="C17" s="11" t="s">
        <v>83</v>
      </c>
      <c r="D17" s="11"/>
      <c r="E17" s="10"/>
      <c r="F17" s="10"/>
      <c r="G17" s="34"/>
      <c r="H17" s="17" t="e">
        <f t="shared" si="0"/>
        <v>#DIV/0!</v>
      </c>
      <c r="I17" s="18">
        <f t="shared" si="1"/>
        <v>2.5460000000000003</v>
      </c>
      <c r="J17" s="18">
        <f t="shared" si="2"/>
        <v>0</v>
      </c>
      <c r="K17" s="30">
        <f t="shared" si="3"/>
        <v>2.5460000000000003</v>
      </c>
      <c r="L17" s="19"/>
    </row>
    <row r="18" spans="1:12" x14ac:dyDescent="0.25">
      <c r="A18" s="10"/>
      <c r="B18" s="10"/>
      <c r="C18" s="11" t="s">
        <v>83</v>
      </c>
      <c r="D18" s="11"/>
      <c r="E18" s="10"/>
      <c r="F18" s="10"/>
      <c r="G18" s="34"/>
      <c r="H18" s="17" t="e">
        <f t="shared" si="0"/>
        <v>#DIV/0!</v>
      </c>
      <c r="I18" s="18">
        <f t="shared" si="1"/>
        <v>2.5460000000000003</v>
      </c>
      <c r="J18" s="18">
        <f t="shared" si="2"/>
        <v>0</v>
      </c>
      <c r="K18" s="30">
        <f t="shared" si="3"/>
        <v>2.5460000000000003</v>
      </c>
      <c r="L18" s="19"/>
    </row>
    <row r="19" spans="1:12" x14ac:dyDescent="0.25">
      <c r="A19" s="10"/>
      <c r="B19" s="10"/>
      <c r="C19" s="11" t="s">
        <v>83</v>
      </c>
      <c r="D19" s="11"/>
      <c r="E19" s="10"/>
      <c r="F19" s="10"/>
      <c r="G19" s="34"/>
      <c r="H19" s="17" t="e">
        <f t="shared" si="0"/>
        <v>#DIV/0!</v>
      </c>
      <c r="I19" s="18">
        <f t="shared" si="1"/>
        <v>2.5460000000000003</v>
      </c>
      <c r="J19" s="18">
        <f t="shared" si="2"/>
        <v>0</v>
      </c>
      <c r="K19" s="30">
        <f t="shared" si="3"/>
        <v>2.5460000000000003</v>
      </c>
      <c r="L19" s="19"/>
    </row>
    <row r="20" spans="1:12" x14ac:dyDescent="0.25">
      <c r="A20" s="10"/>
      <c r="B20" s="10"/>
      <c r="C20" s="11" t="s">
        <v>83</v>
      </c>
      <c r="D20" s="11"/>
      <c r="E20" s="10"/>
      <c r="F20" s="10"/>
      <c r="G20" s="34"/>
      <c r="H20" s="17" t="e">
        <f t="shared" si="0"/>
        <v>#DIV/0!</v>
      </c>
      <c r="I20" s="18">
        <f t="shared" si="1"/>
        <v>2.5460000000000003</v>
      </c>
      <c r="J20" s="18">
        <f t="shared" si="2"/>
        <v>0</v>
      </c>
      <c r="K20" s="30">
        <f t="shared" si="3"/>
        <v>2.5460000000000003</v>
      </c>
      <c r="L20" s="19"/>
    </row>
    <row r="23" spans="1:12" x14ac:dyDescent="0.25">
      <c r="B23" t="s">
        <v>80</v>
      </c>
      <c r="C23" s="26">
        <f>D23*4</f>
        <v>0.72</v>
      </c>
      <c r="D23" s="24">
        <v>0.18</v>
      </c>
      <c r="E23" t="s">
        <v>84</v>
      </c>
    </row>
    <row r="24" spans="1:12" x14ac:dyDescent="0.25">
      <c r="B24" t="s">
        <v>21</v>
      </c>
      <c r="C24" s="71">
        <v>0.4</v>
      </c>
    </row>
    <row r="25" spans="1:12" x14ac:dyDescent="0.25">
      <c r="B25" t="s">
        <v>13</v>
      </c>
      <c r="C25" s="71">
        <v>0.246</v>
      </c>
    </row>
    <row r="26" spans="1:12" x14ac:dyDescent="0.25">
      <c r="B26" t="s">
        <v>19</v>
      </c>
      <c r="C26" s="26">
        <f>10/100</f>
        <v>0.1</v>
      </c>
    </row>
    <row r="27" spans="1:12" x14ac:dyDescent="0.25">
      <c r="B27" t="s">
        <v>14</v>
      </c>
      <c r="C27" s="26">
        <f>80/100</f>
        <v>0.8</v>
      </c>
    </row>
    <row r="28" spans="1:12" x14ac:dyDescent="0.25">
      <c r="B28" s="72" t="s">
        <v>81</v>
      </c>
      <c r="C28" s="40">
        <v>0.28000000000000003</v>
      </c>
      <c r="D28" s="2" t="s">
        <v>82</v>
      </c>
    </row>
    <row r="29" spans="1:12" x14ac:dyDescent="0.25">
      <c r="C29">
        <f>SUM(C23:C28)</f>
        <v>2.5460000000000003</v>
      </c>
    </row>
    <row r="30" spans="1:12" x14ac:dyDescent="0.25">
      <c r="C30" s="54"/>
    </row>
  </sheetData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34BB-6AB0-4978-9015-355EA6E7BE8C}">
  <sheetPr codeName="Sheet11"/>
  <dimension ref="A2:Q30"/>
  <sheetViews>
    <sheetView topLeftCell="B1" workbookViewId="0">
      <selection activeCell="Q15" sqref="Q15"/>
    </sheetView>
  </sheetViews>
  <sheetFormatPr defaultRowHeight="15" x14ac:dyDescent="0.25"/>
  <cols>
    <col min="1" max="1" width="10.5703125" customWidth="1"/>
    <col min="2" max="2" width="63.5703125" bestFit="1" customWidth="1"/>
    <col min="3" max="3" width="9" style="24" customWidth="1"/>
    <col min="4" max="4" width="11.7109375" style="24" customWidth="1"/>
    <col min="5" max="6" width="0" hidden="1" customWidth="1"/>
    <col min="8" max="8" width="24.85546875" customWidth="1"/>
    <col min="10" max="10" width="12.42578125" bestFit="1" customWidth="1"/>
    <col min="11" max="11" width="11.85546875" customWidth="1"/>
    <col min="13" max="13" width="9.140625" style="25"/>
    <col min="14" max="14" width="18.140625" style="26" customWidth="1"/>
    <col min="15" max="15" width="18.140625" style="26" bestFit="1" customWidth="1"/>
    <col min="16" max="16" width="20.85546875" style="31" customWidth="1"/>
    <col min="17" max="17" width="23.85546875" bestFit="1" customWidth="1"/>
  </cols>
  <sheetData>
    <row r="2" spans="1:17" x14ac:dyDescent="0.25">
      <c r="A2" s="1"/>
      <c r="B2" s="1"/>
      <c r="C2" s="2"/>
      <c r="D2" s="2"/>
      <c r="E2" s="1"/>
      <c r="F2" s="1"/>
      <c r="G2" s="1"/>
      <c r="H2" s="1"/>
      <c r="I2" s="1"/>
      <c r="J2" s="1"/>
      <c r="K2" s="1"/>
      <c r="L2" s="1"/>
      <c r="M2" s="3"/>
      <c r="N2" s="4"/>
      <c r="O2" s="4"/>
      <c r="P2" s="28"/>
    </row>
    <row r="3" spans="1:17" x14ac:dyDescent="0.25">
      <c r="A3" s="5" t="s">
        <v>0</v>
      </c>
      <c r="B3" s="5" t="s">
        <v>1</v>
      </c>
      <c r="C3" s="6" t="s">
        <v>2</v>
      </c>
      <c r="D3" s="6" t="s">
        <v>3</v>
      </c>
      <c r="E3" s="5"/>
      <c r="F3" s="5"/>
      <c r="G3" s="6" t="s">
        <v>16</v>
      </c>
      <c r="H3" s="5" t="s">
        <v>17</v>
      </c>
      <c r="I3" s="5"/>
      <c r="J3" s="5"/>
      <c r="K3" s="5"/>
      <c r="L3" s="32"/>
      <c r="M3" s="7" t="s">
        <v>6</v>
      </c>
      <c r="N3" s="8" t="s">
        <v>94</v>
      </c>
      <c r="O3" s="8" t="s">
        <v>91</v>
      </c>
      <c r="P3" s="29" t="s">
        <v>9</v>
      </c>
      <c r="Q3" s="9" t="s">
        <v>10</v>
      </c>
    </row>
    <row r="4" spans="1:17" x14ac:dyDescent="0.25">
      <c r="A4" s="10"/>
      <c r="C4" s="11" t="s">
        <v>86</v>
      </c>
      <c r="D4" s="12"/>
      <c r="E4" s="10"/>
      <c r="F4" s="10"/>
      <c r="G4" s="13"/>
      <c r="H4" s="14"/>
      <c r="I4" s="15"/>
      <c r="J4" s="15"/>
      <c r="K4" s="16"/>
      <c r="L4" s="33"/>
      <c r="M4" s="17" t="e">
        <f>(D4-N4)/D4</f>
        <v>#DIV/0!</v>
      </c>
      <c r="N4" s="18">
        <f>O4+P4</f>
        <v>5.2898890000000005</v>
      </c>
      <c r="O4" s="18">
        <f>Q4*0.0045</f>
        <v>0</v>
      </c>
      <c r="P4" s="30">
        <f>$I$30</f>
        <v>5.2898890000000005</v>
      </c>
      <c r="Q4" s="19"/>
    </row>
    <row r="5" spans="1:17" x14ac:dyDescent="0.25">
      <c r="A5" s="10"/>
      <c r="B5" s="10"/>
      <c r="C5" s="11" t="s">
        <v>86</v>
      </c>
      <c r="D5" s="12"/>
      <c r="E5" s="10"/>
      <c r="F5" s="10"/>
      <c r="G5" s="20"/>
      <c r="H5" s="10"/>
      <c r="I5" s="15"/>
      <c r="J5" s="15"/>
      <c r="K5" s="16"/>
      <c r="L5" s="33"/>
      <c r="M5" s="17" t="e">
        <f t="shared" ref="M5:M20" si="0">(D5-N5)/D5</f>
        <v>#DIV/0!</v>
      </c>
      <c r="N5" s="18">
        <f t="shared" ref="N5:N20" si="1">O5+P5</f>
        <v>5.2898890000000005</v>
      </c>
      <c r="O5" s="18">
        <f t="shared" ref="O5:O20" si="2">Q5*0.0045</f>
        <v>0</v>
      </c>
      <c r="P5" s="30">
        <f t="shared" ref="P5:P20" si="3">$I$30</f>
        <v>5.2898890000000005</v>
      </c>
      <c r="Q5" s="19"/>
    </row>
    <row r="6" spans="1:17" x14ac:dyDescent="0.25">
      <c r="A6" s="10"/>
      <c r="B6" s="10"/>
      <c r="C6" s="11" t="s">
        <v>86</v>
      </c>
      <c r="D6" s="12"/>
      <c r="E6" s="10"/>
      <c r="F6" s="10"/>
      <c r="G6" s="20"/>
      <c r="H6" s="20"/>
      <c r="I6" s="20"/>
      <c r="J6" s="20"/>
      <c r="K6" s="20"/>
      <c r="L6" s="34"/>
      <c r="M6" s="17" t="e">
        <f t="shared" si="0"/>
        <v>#DIV/0!</v>
      </c>
      <c r="N6" s="18">
        <f t="shared" si="1"/>
        <v>5.2898890000000005</v>
      </c>
      <c r="O6" s="18">
        <f t="shared" si="2"/>
        <v>0</v>
      </c>
      <c r="P6" s="30">
        <f t="shared" si="3"/>
        <v>5.2898890000000005</v>
      </c>
      <c r="Q6" s="19"/>
    </row>
    <row r="7" spans="1:17" x14ac:dyDescent="0.25">
      <c r="A7" s="10"/>
      <c r="B7" s="10"/>
      <c r="C7" s="11" t="s">
        <v>86</v>
      </c>
      <c r="D7" s="12"/>
      <c r="E7" s="10"/>
      <c r="F7" s="10"/>
      <c r="G7" s="20"/>
      <c r="H7" s="20"/>
      <c r="I7" s="20"/>
      <c r="J7" s="20"/>
      <c r="K7" s="20"/>
      <c r="L7" s="34"/>
      <c r="M7" s="17" t="e">
        <f t="shared" si="0"/>
        <v>#DIV/0!</v>
      </c>
      <c r="N7" s="18">
        <f t="shared" si="1"/>
        <v>5.2898890000000005</v>
      </c>
      <c r="O7" s="18">
        <f t="shared" si="2"/>
        <v>0</v>
      </c>
      <c r="P7" s="30">
        <f t="shared" si="3"/>
        <v>5.2898890000000005</v>
      </c>
      <c r="Q7" s="19"/>
    </row>
    <row r="8" spans="1:17" x14ac:dyDescent="0.25">
      <c r="A8" s="21"/>
      <c r="B8" s="21"/>
      <c r="C8" s="11" t="s">
        <v>86</v>
      </c>
      <c r="D8" s="22"/>
      <c r="E8" s="21"/>
      <c r="F8" s="21"/>
      <c r="G8" s="23"/>
      <c r="H8" s="20"/>
      <c r="I8" s="20"/>
      <c r="J8" s="20"/>
      <c r="K8" s="20"/>
      <c r="L8" s="34"/>
      <c r="M8" s="17" t="e">
        <f t="shared" si="0"/>
        <v>#DIV/0!</v>
      </c>
      <c r="N8" s="18">
        <f t="shared" si="1"/>
        <v>5.2898890000000005</v>
      </c>
      <c r="O8" s="18">
        <f t="shared" si="2"/>
        <v>0</v>
      </c>
      <c r="P8" s="30">
        <f t="shared" si="3"/>
        <v>5.2898890000000005</v>
      </c>
      <c r="Q8" s="19"/>
    </row>
    <row r="9" spans="1:17" x14ac:dyDescent="0.25">
      <c r="A9" s="10"/>
      <c r="B9" s="10"/>
      <c r="C9" s="11" t="s">
        <v>86</v>
      </c>
      <c r="D9" s="11"/>
      <c r="E9" s="10"/>
      <c r="F9" s="10"/>
      <c r="G9" s="14"/>
      <c r="H9" s="20"/>
      <c r="I9" s="20"/>
      <c r="J9" s="20"/>
      <c r="K9" s="20"/>
      <c r="L9" s="34"/>
      <c r="M9" s="17" t="e">
        <f t="shared" si="0"/>
        <v>#DIV/0!</v>
      </c>
      <c r="N9" s="18">
        <f t="shared" si="1"/>
        <v>5.2898890000000005</v>
      </c>
      <c r="O9" s="18">
        <f t="shared" si="2"/>
        <v>0</v>
      </c>
      <c r="P9" s="30">
        <f t="shared" si="3"/>
        <v>5.2898890000000005</v>
      </c>
      <c r="Q9" s="19"/>
    </row>
    <row r="10" spans="1:17" x14ac:dyDescent="0.25">
      <c r="A10" s="10"/>
      <c r="B10" s="10"/>
      <c r="C10" s="11" t="s">
        <v>86</v>
      </c>
      <c r="D10" s="11"/>
      <c r="E10" s="10"/>
      <c r="F10" s="10"/>
      <c r="G10" s="10"/>
      <c r="H10" s="20"/>
      <c r="I10" s="20"/>
      <c r="J10" s="20"/>
      <c r="K10" s="20"/>
      <c r="L10" s="34"/>
      <c r="M10" s="17" t="e">
        <f t="shared" si="0"/>
        <v>#DIV/0!</v>
      </c>
      <c r="N10" s="18">
        <f t="shared" si="1"/>
        <v>5.2898890000000005</v>
      </c>
      <c r="O10" s="18">
        <f t="shared" si="2"/>
        <v>0</v>
      </c>
      <c r="P10" s="30">
        <f t="shared" si="3"/>
        <v>5.2898890000000005</v>
      </c>
      <c r="Q10" s="19"/>
    </row>
    <row r="11" spans="1:17" x14ac:dyDescent="0.25">
      <c r="A11" s="10"/>
      <c r="B11" s="10"/>
      <c r="C11" s="11" t="s">
        <v>86</v>
      </c>
      <c r="D11" s="11"/>
      <c r="E11" s="10"/>
      <c r="F11" s="10"/>
      <c r="G11" s="10"/>
      <c r="H11" s="20"/>
      <c r="I11" s="20"/>
      <c r="J11" s="20"/>
      <c r="K11" s="20"/>
      <c r="L11" s="34"/>
      <c r="M11" s="17" t="e">
        <f t="shared" si="0"/>
        <v>#DIV/0!</v>
      </c>
      <c r="N11" s="18">
        <f t="shared" si="1"/>
        <v>5.2898890000000005</v>
      </c>
      <c r="O11" s="18">
        <f t="shared" si="2"/>
        <v>0</v>
      </c>
      <c r="P11" s="30">
        <f t="shared" si="3"/>
        <v>5.2898890000000005</v>
      </c>
      <c r="Q11" s="19"/>
    </row>
    <row r="12" spans="1:17" x14ac:dyDescent="0.25">
      <c r="A12" s="10"/>
      <c r="B12" s="10"/>
      <c r="C12" s="11" t="s">
        <v>86</v>
      </c>
      <c r="D12" s="11"/>
      <c r="E12" s="10"/>
      <c r="F12" s="10"/>
      <c r="G12" s="10"/>
      <c r="H12" s="20"/>
      <c r="I12" s="20"/>
      <c r="J12" s="20"/>
      <c r="K12" s="20"/>
      <c r="L12" s="34"/>
      <c r="M12" s="17" t="e">
        <f t="shared" si="0"/>
        <v>#DIV/0!</v>
      </c>
      <c r="N12" s="18">
        <f t="shared" si="1"/>
        <v>5.2898890000000005</v>
      </c>
      <c r="O12" s="18">
        <f t="shared" si="2"/>
        <v>0</v>
      </c>
      <c r="P12" s="30">
        <f t="shared" si="3"/>
        <v>5.2898890000000005</v>
      </c>
      <c r="Q12" s="19"/>
    </row>
    <row r="13" spans="1:17" x14ac:dyDescent="0.25">
      <c r="A13" s="10"/>
      <c r="B13" s="10"/>
      <c r="C13" s="11" t="s">
        <v>86</v>
      </c>
      <c r="D13" s="11"/>
      <c r="E13" s="10"/>
      <c r="F13" s="10"/>
      <c r="G13" s="10"/>
      <c r="H13" s="20"/>
      <c r="I13" s="20"/>
      <c r="J13" s="20"/>
      <c r="K13" s="20"/>
      <c r="L13" s="34"/>
      <c r="M13" s="17" t="e">
        <f t="shared" si="0"/>
        <v>#DIV/0!</v>
      </c>
      <c r="N13" s="18">
        <f t="shared" si="1"/>
        <v>5.2898890000000005</v>
      </c>
      <c r="O13" s="18">
        <f t="shared" si="2"/>
        <v>0</v>
      </c>
      <c r="P13" s="30">
        <f t="shared" si="3"/>
        <v>5.2898890000000005</v>
      </c>
      <c r="Q13" s="19"/>
    </row>
    <row r="14" spans="1:17" x14ac:dyDescent="0.25">
      <c r="A14" s="10"/>
      <c r="B14" s="10"/>
      <c r="C14" s="11" t="s">
        <v>86</v>
      </c>
      <c r="D14" s="11"/>
      <c r="E14" s="10"/>
      <c r="F14" s="10"/>
      <c r="G14" s="10"/>
      <c r="H14" s="20"/>
      <c r="I14" s="20"/>
      <c r="J14" s="20"/>
      <c r="K14" s="20"/>
      <c r="L14" s="34"/>
      <c r="M14" s="17" t="e">
        <f t="shared" si="0"/>
        <v>#DIV/0!</v>
      </c>
      <c r="N14" s="18">
        <f t="shared" si="1"/>
        <v>5.2898890000000005</v>
      </c>
      <c r="O14" s="18">
        <f t="shared" si="2"/>
        <v>0</v>
      </c>
      <c r="P14" s="30">
        <f t="shared" si="3"/>
        <v>5.2898890000000005</v>
      </c>
      <c r="Q14" s="19"/>
    </row>
    <row r="15" spans="1:17" x14ac:dyDescent="0.25">
      <c r="A15" s="10"/>
      <c r="B15" s="10"/>
      <c r="C15" s="11" t="s">
        <v>86</v>
      </c>
      <c r="D15" s="11"/>
      <c r="E15" s="10"/>
      <c r="F15" s="10"/>
      <c r="G15" s="10"/>
      <c r="H15" s="20"/>
      <c r="I15" s="20"/>
      <c r="J15" s="20"/>
      <c r="K15" s="20"/>
      <c r="L15" s="34"/>
      <c r="M15" s="17" t="e">
        <f t="shared" si="0"/>
        <v>#DIV/0!</v>
      </c>
      <c r="N15" s="18">
        <f t="shared" si="1"/>
        <v>5.2898890000000005</v>
      </c>
      <c r="O15" s="18">
        <f t="shared" si="2"/>
        <v>0</v>
      </c>
      <c r="P15" s="30">
        <f t="shared" si="3"/>
        <v>5.2898890000000005</v>
      </c>
      <c r="Q15" s="19"/>
    </row>
    <row r="16" spans="1:17" x14ac:dyDescent="0.25">
      <c r="A16" s="10"/>
      <c r="B16" s="10"/>
      <c r="C16" s="11" t="s">
        <v>86</v>
      </c>
      <c r="D16" s="11"/>
      <c r="E16" s="10"/>
      <c r="F16" s="10"/>
      <c r="G16" s="10"/>
      <c r="H16" s="20"/>
      <c r="I16" s="20"/>
      <c r="J16" s="20"/>
      <c r="K16" s="20"/>
      <c r="L16" s="34"/>
      <c r="M16" s="17" t="e">
        <f t="shared" si="0"/>
        <v>#DIV/0!</v>
      </c>
      <c r="N16" s="18">
        <f t="shared" si="1"/>
        <v>5.2898890000000005</v>
      </c>
      <c r="O16" s="18">
        <f t="shared" si="2"/>
        <v>0</v>
      </c>
      <c r="P16" s="30">
        <f t="shared" si="3"/>
        <v>5.2898890000000005</v>
      </c>
      <c r="Q16" s="19"/>
    </row>
    <row r="17" spans="1:17" x14ac:dyDescent="0.25">
      <c r="A17" s="10"/>
      <c r="B17" s="10"/>
      <c r="C17" s="11" t="s">
        <v>86</v>
      </c>
      <c r="D17" s="11"/>
      <c r="E17" s="10"/>
      <c r="F17" s="10"/>
      <c r="G17" s="10"/>
      <c r="H17" s="20"/>
      <c r="I17" s="20"/>
      <c r="J17" s="20"/>
      <c r="K17" s="20"/>
      <c r="L17" s="34"/>
      <c r="M17" s="17" t="e">
        <f t="shared" si="0"/>
        <v>#DIV/0!</v>
      </c>
      <c r="N17" s="18">
        <f t="shared" si="1"/>
        <v>5.2898890000000005</v>
      </c>
      <c r="O17" s="18">
        <f t="shared" si="2"/>
        <v>0</v>
      </c>
      <c r="P17" s="30">
        <f t="shared" si="3"/>
        <v>5.2898890000000005</v>
      </c>
      <c r="Q17" s="19"/>
    </row>
    <row r="18" spans="1:17" x14ac:dyDescent="0.25">
      <c r="A18" s="10"/>
      <c r="B18" s="10"/>
      <c r="C18" s="11" t="s">
        <v>86</v>
      </c>
      <c r="D18" s="11"/>
      <c r="E18" s="10"/>
      <c r="F18" s="10"/>
      <c r="G18" s="10"/>
      <c r="H18" s="20"/>
      <c r="I18" s="20"/>
      <c r="J18" s="20"/>
      <c r="K18" s="20"/>
      <c r="L18" s="34"/>
      <c r="M18" s="17" t="e">
        <f t="shared" si="0"/>
        <v>#DIV/0!</v>
      </c>
      <c r="N18" s="18">
        <f t="shared" si="1"/>
        <v>5.2898890000000005</v>
      </c>
      <c r="O18" s="18">
        <f t="shared" si="2"/>
        <v>0</v>
      </c>
      <c r="P18" s="30">
        <f t="shared" si="3"/>
        <v>5.2898890000000005</v>
      </c>
      <c r="Q18" s="19"/>
    </row>
    <row r="19" spans="1:17" x14ac:dyDescent="0.25">
      <c r="A19" s="10"/>
      <c r="B19" s="10"/>
      <c r="C19" s="11" t="s">
        <v>86</v>
      </c>
      <c r="D19" s="11"/>
      <c r="E19" s="10"/>
      <c r="F19" s="10"/>
      <c r="G19" s="10"/>
      <c r="H19" s="20"/>
      <c r="I19" s="20"/>
      <c r="J19" s="20"/>
      <c r="K19" s="20"/>
      <c r="L19" s="34"/>
      <c r="M19" s="17" t="e">
        <f t="shared" si="0"/>
        <v>#DIV/0!</v>
      </c>
      <c r="N19" s="18">
        <f t="shared" si="1"/>
        <v>5.2898890000000005</v>
      </c>
      <c r="O19" s="18">
        <f t="shared" si="2"/>
        <v>0</v>
      </c>
      <c r="P19" s="30">
        <f t="shared" si="3"/>
        <v>5.2898890000000005</v>
      </c>
      <c r="Q19" s="19"/>
    </row>
    <row r="20" spans="1:17" x14ac:dyDescent="0.25">
      <c r="A20" s="10"/>
      <c r="B20" s="10"/>
      <c r="C20" s="11" t="s">
        <v>86</v>
      </c>
      <c r="D20" s="11"/>
      <c r="E20" s="10"/>
      <c r="F20" s="10"/>
      <c r="G20" s="10"/>
      <c r="H20" s="20"/>
      <c r="I20" s="20"/>
      <c r="J20" s="20"/>
      <c r="K20" s="20"/>
      <c r="L20" s="34"/>
      <c r="M20" s="17" t="e">
        <f t="shared" si="0"/>
        <v>#DIV/0!</v>
      </c>
      <c r="N20" s="18">
        <f t="shared" si="1"/>
        <v>5.2898890000000005</v>
      </c>
      <c r="O20" s="18">
        <f t="shared" si="2"/>
        <v>0</v>
      </c>
      <c r="P20" s="30">
        <f t="shared" si="3"/>
        <v>5.2898890000000005</v>
      </c>
      <c r="Q20" s="19"/>
    </row>
    <row r="22" spans="1:17" x14ac:dyDescent="0.25">
      <c r="M22" s="24" t="s">
        <v>111</v>
      </c>
    </row>
    <row r="23" spans="1:17" x14ac:dyDescent="0.25">
      <c r="B23" t="s">
        <v>51</v>
      </c>
      <c r="H23" s="27" t="s">
        <v>19</v>
      </c>
      <c r="I23" s="39">
        <f>J23/100</f>
        <v>7.9500000000000001E-2</v>
      </c>
      <c r="J23" s="19">
        <v>7.95</v>
      </c>
      <c r="K23" t="s">
        <v>23</v>
      </c>
      <c r="M23"/>
    </row>
    <row r="24" spans="1:17" x14ac:dyDescent="0.25">
      <c r="H24" s="27" t="s">
        <v>98</v>
      </c>
      <c r="I24" s="39">
        <f>J24*1</f>
        <v>0.17</v>
      </c>
      <c r="J24" s="19">
        <v>0.17</v>
      </c>
      <c r="K24" t="s">
        <v>100</v>
      </c>
      <c r="M24"/>
    </row>
    <row r="25" spans="1:17" x14ac:dyDescent="0.25">
      <c r="H25" s="27" t="s">
        <v>96</v>
      </c>
      <c r="I25" s="39">
        <f>J25*2</f>
        <v>1.74508</v>
      </c>
      <c r="J25" s="88">
        <f>L25+M25</f>
        <v>0.87253999999999998</v>
      </c>
      <c r="K25" t="s">
        <v>97</v>
      </c>
      <c r="L25" s="19">
        <v>0.86</v>
      </c>
      <c r="M25">
        <v>1.2539999999999999E-2</v>
      </c>
    </row>
    <row r="26" spans="1:17" x14ac:dyDescent="0.25">
      <c r="H26" s="27" t="s">
        <v>99</v>
      </c>
      <c r="I26" s="39">
        <f>J26*1</f>
        <v>0.41530899999999998</v>
      </c>
      <c r="J26" s="88">
        <f>L26+M26</f>
        <v>0.41530899999999998</v>
      </c>
      <c r="K26" t="s">
        <v>47</v>
      </c>
      <c r="L26" s="19">
        <v>0.41399999999999998</v>
      </c>
      <c r="M26">
        <v>1.3090000000000001E-3</v>
      </c>
    </row>
    <row r="27" spans="1:17" x14ac:dyDescent="0.25">
      <c r="H27" s="27" t="s">
        <v>13</v>
      </c>
      <c r="I27" s="39">
        <f>J27*1</f>
        <v>0.72</v>
      </c>
      <c r="J27" s="19">
        <v>0.72</v>
      </c>
      <c r="K27" t="s">
        <v>101</v>
      </c>
      <c r="M27"/>
    </row>
    <row r="28" spans="1:17" x14ac:dyDescent="0.25">
      <c r="H28" s="27" t="s">
        <v>14</v>
      </c>
      <c r="I28" s="39">
        <f>J28/100</f>
        <v>0.6</v>
      </c>
      <c r="J28" s="19">
        <v>60</v>
      </c>
      <c r="K28" t="s">
        <v>23</v>
      </c>
      <c r="M28"/>
    </row>
    <row r="29" spans="1:17" x14ac:dyDescent="0.25">
      <c r="H29" s="27" t="s">
        <v>102</v>
      </c>
      <c r="I29" s="39">
        <v>1.56</v>
      </c>
      <c r="J29" s="19">
        <v>1.56</v>
      </c>
      <c r="K29" t="s">
        <v>102</v>
      </c>
      <c r="M29"/>
    </row>
    <row r="30" spans="1:17" x14ac:dyDescent="0.25">
      <c r="H30" s="27"/>
      <c r="I30" s="8">
        <f>SUM(I23:I29)</f>
        <v>5.2898890000000005</v>
      </c>
    </row>
  </sheetData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8B2A-9B3B-4187-A779-D0498DC03B15}">
  <sheetPr codeName="Sheet12"/>
  <dimension ref="A2:Q28"/>
  <sheetViews>
    <sheetView workbookViewId="0">
      <selection activeCell="H21" sqref="H21:M28"/>
    </sheetView>
  </sheetViews>
  <sheetFormatPr defaultRowHeight="15" x14ac:dyDescent="0.25"/>
  <cols>
    <col min="1" max="1" width="10.5703125" customWidth="1"/>
    <col min="2" max="2" width="63.5703125" bestFit="1" customWidth="1"/>
    <col min="3" max="3" width="9" style="24" customWidth="1"/>
    <col min="4" max="4" width="11.7109375" style="24" customWidth="1"/>
    <col min="5" max="6" width="0" hidden="1" customWidth="1"/>
    <col min="8" max="8" width="24.85546875" customWidth="1"/>
    <col min="10" max="10" width="12.42578125" bestFit="1" customWidth="1"/>
    <col min="11" max="11" width="11.85546875" customWidth="1"/>
    <col min="13" max="13" width="9.140625" style="25"/>
    <col min="14" max="14" width="18.140625" style="26" customWidth="1"/>
    <col min="15" max="15" width="12.28515625" style="26" bestFit="1" customWidth="1"/>
    <col min="16" max="16" width="20.85546875" style="31" customWidth="1"/>
    <col min="17" max="17" width="23.85546875" bestFit="1" customWidth="1"/>
  </cols>
  <sheetData>
    <row r="2" spans="1:17" x14ac:dyDescent="0.25">
      <c r="A2" s="1"/>
      <c r="B2" s="1"/>
      <c r="C2" s="2"/>
      <c r="D2" s="2"/>
      <c r="E2" s="1"/>
      <c r="F2" s="1"/>
      <c r="G2" s="1"/>
      <c r="H2" s="1"/>
      <c r="I2" s="1"/>
      <c r="J2" s="1"/>
      <c r="K2" s="1"/>
      <c r="L2" s="1"/>
      <c r="M2" s="3"/>
      <c r="N2" s="4"/>
      <c r="O2" s="4"/>
      <c r="P2" s="28"/>
    </row>
    <row r="3" spans="1:17" x14ac:dyDescent="0.25">
      <c r="A3" s="5" t="s">
        <v>0</v>
      </c>
      <c r="B3" s="5" t="s">
        <v>1</v>
      </c>
      <c r="C3" s="6" t="s">
        <v>2</v>
      </c>
      <c r="D3" s="6" t="s">
        <v>3</v>
      </c>
      <c r="E3" s="5"/>
      <c r="F3" s="5"/>
      <c r="G3" s="6" t="s">
        <v>16</v>
      </c>
      <c r="H3" s="5" t="s">
        <v>17</v>
      </c>
      <c r="I3" s="1"/>
      <c r="J3" s="1"/>
      <c r="K3" s="1"/>
      <c r="L3" s="32"/>
      <c r="M3" s="7" t="s">
        <v>6</v>
      </c>
      <c r="N3" s="8" t="s">
        <v>93</v>
      </c>
      <c r="O3" s="8" t="s">
        <v>92</v>
      </c>
      <c r="P3" s="29" t="s">
        <v>9</v>
      </c>
      <c r="Q3" s="9" t="s">
        <v>10</v>
      </c>
    </row>
    <row r="4" spans="1:17" x14ac:dyDescent="0.25">
      <c r="A4" s="10"/>
      <c r="C4" s="11" t="s">
        <v>93</v>
      </c>
      <c r="D4" s="12"/>
      <c r="E4" s="12">
        <f>O4/0.5</f>
        <v>0</v>
      </c>
      <c r="F4" s="12">
        <f>P4/0.5</f>
        <v>4.1807590000000001</v>
      </c>
      <c r="G4" s="13"/>
      <c r="H4" s="14"/>
      <c r="I4" s="73"/>
      <c r="J4" s="73"/>
      <c r="K4" s="74"/>
      <c r="L4" s="33"/>
      <c r="M4" s="17" t="e">
        <f t="shared" ref="M4:M20" si="0">(D4-N4)/D4</f>
        <v>#DIV/0!</v>
      </c>
      <c r="N4" s="18">
        <f>O4+P4</f>
        <v>2.0903795000000001</v>
      </c>
      <c r="O4" s="18">
        <f>Q4*0.0012</f>
        <v>0</v>
      </c>
      <c r="P4" s="30">
        <f t="shared" ref="P4:P20" si="1">$I$28</f>
        <v>2.0903795000000001</v>
      </c>
      <c r="Q4" s="19"/>
    </row>
    <row r="5" spans="1:17" x14ac:dyDescent="0.25">
      <c r="A5" s="10"/>
      <c r="B5" s="10"/>
      <c r="C5" s="11" t="s">
        <v>93</v>
      </c>
      <c r="D5" s="12"/>
      <c r="E5" s="10"/>
      <c r="F5" s="10"/>
      <c r="G5" s="20"/>
      <c r="H5" s="10"/>
      <c r="I5" s="73"/>
      <c r="J5" s="73"/>
      <c r="K5" s="74"/>
      <c r="L5" s="33"/>
      <c r="M5" s="17" t="e">
        <f t="shared" si="0"/>
        <v>#DIV/0!</v>
      </c>
      <c r="N5" s="18">
        <f t="shared" ref="N5:N20" si="2">O5+P5</f>
        <v>2.0903795000000001</v>
      </c>
      <c r="O5" s="18">
        <f t="shared" ref="O5:O20" si="3">Q5*0.0012</f>
        <v>0</v>
      </c>
      <c r="P5" s="30">
        <f t="shared" si="1"/>
        <v>2.0903795000000001</v>
      </c>
      <c r="Q5" s="19"/>
    </row>
    <row r="6" spans="1:17" x14ac:dyDescent="0.25">
      <c r="A6" s="10"/>
      <c r="B6" s="10"/>
      <c r="C6" s="11" t="s">
        <v>93</v>
      </c>
      <c r="D6" s="12"/>
      <c r="E6" s="10"/>
      <c r="F6" s="10"/>
      <c r="G6" s="20"/>
      <c r="H6" s="21"/>
      <c r="L6" s="34"/>
      <c r="M6" s="17" t="e">
        <f t="shared" si="0"/>
        <v>#DIV/0!</v>
      </c>
      <c r="N6" s="18">
        <f t="shared" si="2"/>
        <v>2.0903795000000001</v>
      </c>
      <c r="O6" s="18">
        <f t="shared" si="3"/>
        <v>0</v>
      </c>
      <c r="P6" s="30">
        <f t="shared" si="1"/>
        <v>2.0903795000000001</v>
      </c>
      <c r="Q6" s="19"/>
    </row>
    <row r="7" spans="1:17" x14ac:dyDescent="0.25">
      <c r="A7" s="10"/>
      <c r="B7" s="10"/>
      <c r="C7" s="11" t="s">
        <v>93</v>
      </c>
      <c r="D7" s="12"/>
      <c r="E7" s="10"/>
      <c r="F7" s="10"/>
      <c r="G7" s="20"/>
      <c r="H7" s="21"/>
      <c r="L7" s="34"/>
      <c r="M7" s="17" t="e">
        <f t="shared" si="0"/>
        <v>#DIV/0!</v>
      </c>
      <c r="N7" s="18">
        <f t="shared" si="2"/>
        <v>2.0903795000000001</v>
      </c>
      <c r="O7" s="18">
        <f t="shared" si="3"/>
        <v>0</v>
      </c>
      <c r="P7" s="30">
        <f t="shared" si="1"/>
        <v>2.0903795000000001</v>
      </c>
      <c r="Q7" s="19"/>
    </row>
    <row r="8" spans="1:17" x14ac:dyDescent="0.25">
      <c r="A8" s="21"/>
      <c r="B8" s="21"/>
      <c r="C8" s="11" t="s">
        <v>93</v>
      </c>
      <c r="D8" s="22"/>
      <c r="E8" s="21"/>
      <c r="F8" s="21"/>
      <c r="G8" s="23"/>
      <c r="H8" s="21"/>
      <c r="L8" s="34"/>
      <c r="M8" s="17" t="e">
        <f t="shared" si="0"/>
        <v>#DIV/0!</v>
      </c>
      <c r="N8" s="18">
        <f t="shared" si="2"/>
        <v>2.0903795000000001</v>
      </c>
      <c r="O8" s="18">
        <f t="shared" si="3"/>
        <v>0</v>
      </c>
      <c r="P8" s="30">
        <f t="shared" si="1"/>
        <v>2.0903795000000001</v>
      </c>
      <c r="Q8" s="19"/>
    </row>
    <row r="9" spans="1:17" x14ac:dyDescent="0.25">
      <c r="A9" s="10"/>
      <c r="B9" s="10"/>
      <c r="C9" s="11" t="s">
        <v>93</v>
      </c>
      <c r="D9" s="11"/>
      <c r="E9" s="10"/>
      <c r="F9" s="10"/>
      <c r="G9" s="14"/>
      <c r="H9" s="21"/>
      <c r="L9" s="34"/>
      <c r="M9" s="17" t="e">
        <f t="shared" si="0"/>
        <v>#DIV/0!</v>
      </c>
      <c r="N9" s="18">
        <f t="shared" si="2"/>
        <v>2.0903795000000001</v>
      </c>
      <c r="O9" s="18">
        <f t="shared" si="3"/>
        <v>0</v>
      </c>
      <c r="P9" s="30">
        <f t="shared" si="1"/>
        <v>2.0903795000000001</v>
      </c>
      <c r="Q9" s="19"/>
    </row>
    <row r="10" spans="1:17" x14ac:dyDescent="0.25">
      <c r="A10" s="10"/>
      <c r="B10" s="10"/>
      <c r="C10" s="11" t="s">
        <v>93</v>
      </c>
      <c r="D10" s="11"/>
      <c r="E10" s="10"/>
      <c r="F10" s="10"/>
      <c r="G10" s="10"/>
      <c r="H10" s="21"/>
      <c r="L10" s="34"/>
      <c r="M10" s="17" t="e">
        <f t="shared" si="0"/>
        <v>#DIV/0!</v>
      </c>
      <c r="N10" s="18">
        <f t="shared" si="2"/>
        <v>2.0903795000000001</v>
      </c>
      <c r="O10" s="18">
        <f t="shared" si="3"/>
        <v>0</v>
      </c>
      <c r="P10" s="30">
        <f t="shared" si="1"/>
        <v>2.0903795000000001</v>
      </c>
      <c r="Q10" s="19"/>
    </row>
    <row r="11" spans="1:17" x14ac:dyDescent="0.25">
      <c r="A11" s="10"/>
      <c r="B11" s="10"/>
      <c r="C11" s="11" t="s">
        <v>93</v>
      </c>
      <c r="D11" s="11"/>
      <c r="E11" s="10"/>
      <c r="F11" s="10"/>
      <c r="G11" s="10"/>
      <c r="H11" s="21"/>
      <c r="L11" s="34"/>
      <c r="M11" s="17" t="e">
        <f t="shared" si="0"/>
        <v>#DIV/0!</v>
      </c>
      <c r="N11" s="18">
        <f t="shared" si="2"/>
        <v>2.0903795000000001</v>
      </c>
      <c r="O11" s="18">
        <f t="shared" si="3"/>
        <v>0</v>
      </c>
      <c r="P11" s="30">
        <f t="shared" si="1"/>
        <v>2.0903795000000001</v>
      </c>
      <c r="Q11" s="19"/>
    </row>
    <row r="12" spans="1:17" x14ac:dyDescent="0.25">
      <c r="A12" s="10"/>
      <c r="B12" s="10"/>
      <c r="C12" s="11" t="s">
        <v>93</v>
      </c>
      <c r="D12" s="11"/>
      <c r="E12" s="10"/>
      <c r="F12" s="10"/>
      <c r="G12" s="10"/>
      <c r="H12" s="21"/>
      <c r="L12" s="34"/>
      <c r="M12" s="17" t="e">
        <f t="shared" si="0"/>
        <v>#DIV/0!</v>
      </c>
      <c r="N12" s="18">
        <f t="shared" si="2"/>
        <v>2.0903795000000001</v>
      </c>
      <c r="O12" s="18">
        <f t="shared" si="3"/>
        <v>0</v>
      </c>
      <c r="P12" s="30">
        <f t="shared" si="1"/>
        <v>2.0903795000000001</v>
      </c>
      <c r="Q12" s="19"/>
    </row>
    <row r="13" spans="1:17" x14ac:dyDescent="0.25">
      <c r="A13" s="10"/>
      <c r="B13" s="10"/>
      <c r="C13" s="11" t="s">
        <v>93</v>
      </c>
      <c r="D13" s="11"/>
      <c r="E13" s="10"/>
      <c r="F13" s="10"/>
      <c r="G13" s="10"/>
      <c r="H13" s="21"/>
      <c r="L13" s="34"/>
      <c r="M13" s="17" t="e">
        <f t="shared" si="0"/>
        <v>#DIV/0!</v>
      </c>
      <c r="N13" s="18">
        <f t="shared" si="2"/>
        <v>2.0903795000000001</v>
      </c>
      <c r="O13" s="18">
        <f t="shared" si="3"/>
        <v>0</v>
      </c>
      <c r="P13" s="30">
        <f t="shared" si="1"/>
        <v>2.0903795000000001</v>
      </c>
      <c r="Q13" s="19"/>
    </row>
    <row r="14" spans="1:17" x14ac:dyDescent="0.25">
      <c r="A14" s="10"/>
      <c r="B14" s="10"/>
      <c r="C14" s="11" t="s">
        <v>93</v>
      </c>
      <c r="D14" s="11"/>
      <c r="E14" s="10"/>
      <c r="F14" s="10"/>
      <c r="G14" s="10"/>
      <c r="H14" s="11"/>
      <c r="I14" s="24"/>
      <c r="J14" s="24"/>
      <c r="K14" s="24"/>
      <c r="L14" s="34"/>
      <c r="M14" s="17" t="e">
        <f t="shared" si="0"/>
        <v>#DIV/0!</v>
      </c>
      <c r="N14" s="18">
        <f t="shared" si="2"/>
        <v>2.0903795000000001</v>
      </c>
      <c r="O14" s="18">
        <f t="shared" si="3"/>
        <v>0</v>
      </c>
      <c r="P14" s="30">
        <f t="shared" si="1"/>
        <v>2.0903795000000001</v>
      </c>
      <c r="Q14" s="19"/>
    </row>
    <row r="15" spans="1:17" x14ac:dyDescent="0.25">
      <c r="A15" s="10"/>
      <c r="B15" s="10"/>
      <c r="C15" s="11" t="s">
        <v>93</v>
      </c>
      <c r="D15" s="11"/>
      <c r="E15" s="10"/>
      <c r="F15" s="10"/>
      <c r="G15" s="10"/>
      <c r="H15" s="11"/>
      <c r="I15" s="24"/>
      <c r="J15" s="24"/>
      <c r="K15" s="24"/>
      <c r="L15" s="34"/>
      <c r="M15" s="17" t="e">
        <f t="shared" si="0"/>
        <v>#DIV/0!</v>
      </c>
      <c r="N15" s="18">
        <f t="shared" si="2"/>
        <v>2.0903795000000001</v>
      </c>
      <c r="O15" s="18">
        <f t="shared" si="3"/>
        <v>0</v>
      </c>
      <c r="P15" s="30">
        <f t="shared" si="1"/>
        <v>2.0903795000000001</v>
      </c>
      <c r="Q15" s="19"/>
    </row>
    <row r="16" spans="1:17" x14ac:dyDescent="0.25">
      <c r="A16" s="10"/>
      <c r="B16" s="10"/>
      <c r="C16" s="11" t="s">
        <v>93</v>
      </c>
      <c r="D16" s="11"/>
      <c r="E16" s="10"/>
      <c r="F16" s="10"/>
      <c r="G16" s="10"/>
      <c r="H16" s="11"/>
      <c r="I16" s="24"/>
      <c r="J16" s="24"/>
      <c r="K16" s="24"/>
      <c r="L16" s="34"/>
      <c r="M16" s="17" t="e">
        <f t="shared" si="0"/>
        <v>#DIV/0!</v>
      </c>
      <c r="N16" s="18">
        <f t="shared" si="2"/>
        <v>2.0903795000000001</v>
      </c>
      <c r="O16" s="18">
        <f t="shared" si="3"/>
        <v>0</v>
      </c>
      <c r="P16" s="30">
        <f t="shared" si="1"/>
        <v>2.0903795000000001</v>
      </c>
      <c r="Q16" s="19"/>
    </row>
    <row r="17" spans="1:17" x14ac:dyDescent="0.25">
      <c r="A17" s="10"/>
      <c r="B17" s="10"/>
      <c r="C17" s="11" t="s">
        <v>93</v>
      </c>
      <c r="D17" s="11"/>
      <c r="E17" s="10"/>
      <c r="F17" s="10"/>
      <c r="G17" s="10"/>
      <c r="H17" s="11"/>
      <c r="I17" s="24"/>
      <c r="J17" s="24"/>
      <c r="K17" s="24"/>
      <c r="L17" s="34"/>
      <c r="M17" s="17" t="e">
        <f t="shared" si="0"/>
        <v>#DIV/0!</v>
      </c>
      <c r="N17" s="18">
        <f t="shared" si="2"/>
        <v>2.0903795000000001</v>
      </c>
      <c r="O17" s="18">
        <f t="shared" si="3"/>
        <v>0</v>
      </c>
      <c r="P17" s="30">
        <f t="shared" si="1"/>
        <v>2.0903795000000001</v>
      </c>
      <c r="Q17" s="19"/>
    </row>
    <row r="18" spans="1:17" x14ac:dyDescent="0.25">
      <c r="A18" s="10"/>
      <c r="B18" s="10"/>
      <c r="C18" s="11" t="s">
        <v>93</v>
      </c>
      <c r="D18" s="11"/>
      <c r="E18" s="10"/>
      <c r="F18" s="10"/>
      <c r="G18" s="10"/>
      <c r="H18" s="11"/>
      <c r="I18" s="24"/>
      <c r="J18" s="24"/>
      <c r="K18" s="24"/>
      <c r="L18" s="34"/>
      <c r="M18" s="17" t="e">
        <f t="shared" si="0"/>
        <v>#DIV/0!</v>
      </c>
      <c r="N18" s="18">
        <f t="shared" si="2"/>
        <v>2.0903795000000001</v>
      </c>
      <c r="O18" s="18">
        <f t="shared" si="3"/>
        <v>0</v>
      </c>
      <c r="P18" s="30">
        <f t="shared" si="1"/>
        <v>2.0903795000000001</v>
      </c>
      <c r="Q18" s="19"/>
    </row>
    <row r="19" spans="1:17" x14ac:dyDescent="0.25">
      <c r="A19" s="10"/>
      <c r="B19" s="10"/>
      <c r="C19" s="11" t="s">
        <v>93</v>
      </c>
      <c r="D19" s="11"/>
      <c r="E19" s="10"/>
      <c r="F19" s="10"/>
      <c r="G19" s="10"/>
      <c r="H19" s="11"/>
      <c r="I19" s="24"/>
      <c r="J19" s="24"/>
      <c r="K19" s="24"/>
      <c r="L19" s="34"/>
      <c r="M19" s="17" t="e">
        <f t="shared" si="0"/>
        <v>#DIV/0!</v>
      </c>
      <c r="N19" s="18">
        <f t="shared" si="2"/>
        <v>2.0903795000000001</v>
      </c>
      <c r="O19" s="18">
        <f t="shared" si="3"/>
        <v>0</v>
      </c>
      <c r="P19" s="30">
        <f t="shared" si="1"/>
        <v>2.0903795000000001</v>
      </c>
      <c r="Q19" s="19"/>
    </row>
    <row r="20" spans="1:17" x14ac:dyDescent="0.25">
      <c r="A20" s="10"/>
      <c r="B20" s="10"/>
      <c r="C20" s="11" t="s">
        <v>93</v>
      </c>
      <c r="D20" s="11"/>
      <c r="E20" s="10"/>
      <c r="F20" s="10"/>
      <c r="G20" s="10"/>
      <c r="H20" s="11"/>
      <c r="I20" s="24"/>
      <c r="J20" s="24"/>
      <c r="K20" s="24"/>
      <c r="L20" s="34"/>
      <c r="M20" s="17" t="e">
        <f t="shared" si="0"/>
        <v>#DIV/0!</v>
      </c>
      <c r="N20" s="18">
        <f t="shared" si="2"/>
        <v>2.0903795000000001</v>
      </c>
      <c r="O20" s="18">
        <f t="shared" si="3"/>
        <v>0</v>
      </c>
      <c r="P20" s="30">
        <f t="shared" si="1"/>
        <v>2.0903795000000001</v>
      </c>
      <c r="Q20" s="19"/>
    </row>
    <row r="21" spans="1:17" x14ac:dyDescent="0.25">
      <c r="M21" s="24" t="s">
        <v>111</v>
      </c>
    </row>
    <row r="22" spans="1:17" x14ac:dyDescent="0.25">
      <c r="H22" s="27" t="s">
        <v>19</v>
      </c>
      <c r="I22" s="39">
        <f>J22/100</f>
        <v>7.9500000000000001E-2</v>
      </c>
      <c r="J22" s="19">
        <v>7.95</v>
      </c>
      <c r="K22" t="s">
        <v>23</v>
      </c>
      <c r="M22"/>
    </row>
    <row r="23" spans="1:17" x14ac:dyDescent="0.25">
      <c r="B23" t="s">
        <v>51</v>
      </c>
      <c r="H23" s="27" t="s">
        <v>95</v>
      </c>
      <c r="I23" s="39">
        <f>J23*2</f>
        <v>0.86683999999999994</v>
      </c>
      <c r="J23" s="88">
        <f>L23+M23</f>
        <v>0.43341999999999997</v>
      </c>
      <c r="K23" t="s">
        <v>38</v>
      </c>
      <c r="L23" s="19">
        <v>0.43</v>
      </c>
      <c r="M23">
        <v>3.4199999999999994E-3</v>
      </c>
    </row>
    <row r="24" spans="1:17" x14ac:dyDescent="0.25">
      <c r="H24" s="27"/>
      <c r="I24" s="39"/>
      <c r="J24" s="19"/>
      <c r="L24" s="19"/>
      <c r="M24"/>
    </row>
    <row r="25" spans="1:17" x14ac:dyDescent="0.25">
      <c r="H25" s="27" t="s">
        <v>21</v>
      </c>
      <c r="I25" s="39">
        <f>J25</f>
        <v>0.30403950000000002</v>
      </c>
      <c r="J25" s="88">
        <f>L25+M25</f>
        <v>0.30403950000000002</v>
      </c>
      <c r="K25" t="s">
        <v>47</v>
      </c>
      <c r="L25" s="19">
        <v>0.30299999999999999</v>
      </c>
      <c r="M25">
        <v>1.0395000000000001E-3</v>
      </c>
    </row>
    <row r="26" spans="1:17" x14ac:dyDescent="0.25">
      <c r="H26" s="27" t="s">
        <v>13</v>
      </c>
      <c r="I26" s="39">
        <f>J26*12</f>
        <v>0.72</v>
      </c>
      <c r="J26" s="19">
        <v>0.06</v>
      </c>
      <c r="K26" t="s">
        <v>41</v>
      </c>
      <c r="M26"/>
    </row>
    <row r="27" spans="1:17" x14ac:dyDescent="0.25">
      <c r="H27" s="27" t="s">
        <v>14</v>
      </c>
      <c r="I27" s="39">
        <f>J27/500</f>
        <v>0.12</v>
      </c>
      <c r="J27" s="19">
        <v>60</v>
      </c>
      <c r="K27" t="s">
        <v>23</v>
      </c>
      <c r="M27"/>
    </row>
    <row r="28" spans="1:17" x14ac:dyDescent="0.25">
      <c r="H28" s="27"/>
      <c r="I28" s="8">
        <f>SUM(I22:I27)</f>
        <v>2.0903795000000001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5C1BD-58F0-4AC9-B7DA-E1B6A2C62940}">
  <sheetPr codeName="Sheet14"/>
  <dimension ref="A2:L34"/>
  <sheetViews>
    <sheetView workbookViewId="0">
      <selection activeCell="I37" sqref="I37"/>
    </sheetView>
  </sheetViews>
  <sheetFormatPr defaultRowHeight="15" x14ac:dyDescent="0.25"/>
  <cols>
    <col min="1" max="1" width="10.5703125" customWidth="1"/>
    <col min="2" max="2" width="35.42578125" customWidth="1"/>
    <col min="3" max="3" width="9.42578125" style="24" bestFit="1" customWidth="1"/>
    <col min="4" max="4" width="11.7109375" style="24" customWidth="1"/>
    <col min="6" max="6" width="15.85546875" customWidth="1"/>
    <col min="8" max="8" width="8.7109375" style="25"/>
    <col min="9" max="9" width="22.140625" style="26" bestFit="1" customWidth="1"/>
    <col min="10" max="10" width="12.28515625" style="26" bestFit="1" customWidth="1"/>
    <col min="11" max="11" width="20.85546875" style="31" customWidth="1"/>
    <col min="12" max="12" width="23.85546875" bestFit="1" customWidth="1"/>
  </cols>
  <sheetData>
    <row r="2" spans="1:12" x14ac:dyDescent="0.25">
      <c r="A2" s="1"/>
      <c r="B2" s="1"/>
      <c r="C2" s="2"/>
      <c r="D2" s="2"/>
      <c r="E2" s="1"/>
      <c r="F2" s="1"/>
      <c r="G2" s="1"/>
      <c r="H2" s="3"/>
      <c r="I2" s="4"/>
      <c r="J2" s="4"/>
      <c r="K2" s="28"/>
    </row>
    <row r="3" spans="1:12" x14ac:dyDescent="0.25">
      <c r="A3" s="5" t="s">
        <v>0</v>
      </c>
      <c r="B3" s="5" t="s">
        <v>1</v>
      </c>
      <c r="C3" s="6" t="s">
        <v>2</v>
      </c>
      <c r="D3" s="6" t="s">
        <v>3</v>
      </c>
      <c r="E3" s="6" t="s">
        <v>16</v>
      </c>
      <c r="F3" s="5" t="s">
        <v>17</v>
      </c>
      <c r="G3" s="32"/>
      <c r="H3" s="7" t="s">
        <v>6</v>
      </c>
      <c r="I3" s="8" t="s">
        <v>119</v>
      </c>
      <c r="J3" s="8" t="s">
        <v>85</v>
      </c>
      <c r="K3" s="29" t="s">
        <v>9</v>
      </c>
      <c r="L3" s="9" t="s">
        <v>10</v>
      </c>
    </row>
    <row r="4" spans="1:12" x14ac:dyDescent="0.25">
      <c r="A4" s="10"/>
      <c r="B4" s="10"/>
      <c r="C4" s="11" t="s">
        <v>112</v>
      </c>
      <c r="D4" s="12"/>
      <c r="E4" s="10"/>
      <c r="F4" s="10"/>
      <c r="G4" s="34"/>
      <c r="H4" s="17" t="e">
        <f t="shared" ref="H4:H20" si="0">(D4-I4)/D4</f>
        <v>#DIV/0!</v>
      </c>
      <c r="I4" s="18">
        <f t="shared" ref="I4:I20" si="1">J4+K4</f>
        <v>6.2128260869565217</v>
      </c>
      <c r="J4" s="18">
        <f>L4*0.009</f>
        <v>0</v>
      </c>
      <c r="K4" s="30">
        <f>$C$34</f>
        <v>6.2128260869565217</v>
      </c>
      <c r="L4" s="19"/>
    </row>
    <row r="5" spans="1:12" x14ac:dyDescent="0.25">
      <c r="A5" s="10"/>
      <c r="B5" s="10"/>
      <c r="C5" s="11" t="s">
        <v>112</v>
      </c>
      <c r="D5" s="11"/>
      <c r="E5" s="10"/>
      <c r="F5" s="10"/>
      <c r="G5" s="34"/>
      <c r="H5" s="17" t="e">
        <f t="shared" si="0"/>
        <v>#DIV/0!</v>
      </c>
      <c r="I5" s="18">
        <f t="shared" si="1"/>
        <v>6.2128260869565217</v>
      </c>
      <c r="J5" s="18">
        <f t="shared" ref="J5:J20" si="2">L5*0.009</f>
        <v>0</v>
      </c>
      <c r="K5" s="30">
        <f t="shared" ref="K5:K20" si="3">$C$34</f>
        <v>6.2128260869565217</v>
      </c>
      <c r="L5" s="19"/>
    </row>
    <row r="6" spans="1:12" x14ac:dyDescent="0.25">
      <c r="A6" s="10"/>
      <c r="B6" s="10"/>
      <c r="C6" s="11" t="s">
        <v>112</v>
      </c>
      <c r="D6" s="11"/>
      <c r="E6" s="10"/>
      <c r="F6" s="10"/>
      <c r="G6" s="34"/>
      <c r="H6" s="17" t="e">
        <f t="shared" si="0"/>
        <v>#DIV/0!</v>
      </c>
      <c r="I6" s="18">
        <f t="shared" si="1"/>
        <v>6.2128260869565217</v>
      </c>
      <c r="J6" s="18">
        <f t="shared" si="2"/>
        <v>0</v>
      </c>
      <c r="K6" s="30">
        <f t="shared" si="3"/>
        <v>6.2128260869565217</v>
      </c>
      <c r="L6" s="19"/>
    </row>
    <row r="7" spans="1:12" x14ac:dyDescent="0.25">
      <c r="A7" s="10"/>
      <c r="B7" s="10"/>
      <c r="C7" s="11" t="s">
        <v>112</v>
      </c>
      <c r="D7" s="11"/>
      <c r="E7" s="10"/>
      <c r="F7" s="10"/>
      <c r="G7" s="34"/>
      <c r="H7" s="17" t="e">
        <f t="shared" si="0"/>
        <v>#DIV/0!</v>
      </c>
      <c r="I7" s="18">
        <f t="shared" si="1"/>
        <v>6.2128260869565217</v>
      </c>
      <c r="J7" s="18">
        <f t="shared" si="2"/>
        <v>0</v>
      </c>
      <c r="K7" s="30">
        <f t="shared" si="3"/>
        <v>6.2128260869565217</v>
      </c>
      <c r="L7" s="19"/>
    </row>
    <row r="8" spans="1:12" x14ac:dyDescent="0.25">
      <c r="A8" s="10"/>
      <c r="B8" s="10"/>
      <c r="C8" s="11" t="s">
        <v>112</v>
      </c>
      <c r="D8" s="11"/>
      <c r="E8" s="10"/>
      <c r="F8" s="10"/>
      <c r="G8" s="34"/>
      <c r="H8" s="17" t="e">
        <f t="shared" si="0"/>
        <v>#DIV/0!</v>
      </c>
      <c r="I8" s="18">
        <f t="shared" si="1"/>
        <v>6.2128260869565217</v>
      </c>
      <c r="J8" s="18">
        <f t="shared" si="2"/>
        <v>0</v>
      </c>
      <c r="K8" s="30">
        <f t="shared" si="3"/>
        <v>6.2128260869565217</v>
      </c>
      <c r="L8" s="19"/>
    </row>
    <row r="9" spans="1:12" x14ac:dyDescent="0.25">
      <c r="A9" s="10"/>
      <c r="B9" s="10"/>
      <c r="C9" s="11" t="s">
        <v>112</v>
      </c>
      <c r="D9" s="11"/>
      <c r="E9" s="10"/>
      <c r="F9" s="10"/>
      <c r="G9" s="34"/>
      <c r="H9" s="17" t="e">
        <f t="shared" si="0"/>
        <v>#DIV/0!</v>
      </c>
      <c r="I9" s="18">
        <f t="shared" si="1"/>
        <v>6.2128260869565217</v>
      </c>
      <c r="J9" s="18">
        <f t="shared" si="2"/>
        <v>0</v>
      </c>
      <c r="K9" s="30">
        <f t="shared" si="3"/>
        <v>6.2128260869565217</v>
      </c>
      <c r="L9" s="19"/>
    </row>
    <row r="10" spans="1:12" x14ac:dyDescent="0.25">
      <c r="A10" s="10"/>
      <c r="B10" s="10"/>
      <c r="C10" s="11" t="s">
        <v>112</v>
      </c>
      <c r="D10" s="11"/>
      <c r="E10" s="10"/>
      <c r="F10" s="10"/>
      <c r="G10" s="34"/>
      <c r="H10" s="17" t="e">
        <f t="shared" si="0"/>
        <v>#DIV/0!</v>
      </c>
      <c r="I10" s="18">
        <f t="shared" si="1"/>
        <v>6.2128260869565217</v>
      </c>
      <c r="J10" s="18">
        <f t="shared" si="2"/>
        <v>0</v>
      </c>
      <c r="K10" s="30">
        <f t="shared" si="3"/>
        <v>6.2128260869565217</v>
      </c>
      <c r="L10" s="19"/>
    </row>
    <row r="11" spans="1:12" x14ac:dyDescent="0.25">
      <c r="A11" s="10"/>
      <c r="B11" s="10"/>
      <c r="C11" s="11" t="s">
        <v>112</v>
      </c>
      <c r="D11" s="11"/>
      <c r="E11" s="10"/>
      <c r="F11" s="10"/>
      <c r="G11" s="34"/>
      <c r="H11" s="17" t="e">
        <f t="shared" si="0"/>
        <v>#DIV/0!</v>
      </c>
      <c r="I11" s="18">
        <f t="shared" si="1"/>
        <v>6.2128260869565217</v>
      </c>
      <c r="J11" s="18">
        <f t="shared" si="2"/>
        <v>0</v>
      </c>
      <c r="K11" s="30">
        <f t="shared" si="3"/>
        <v>6.2128260869565217</v>
      </c>
      <c r="L11" s="19"/>
    </row>
    <row r="12" spans="1:12" x14ac:dyDescent="0.25">
      <c r="A12" s="10"/>
      <c r="B12" s="10"/>
      <c r="C12" s="11" t="s">
        <v>112</v>
      </c>
      <c r="D12" s="11"/>
      <c r="E12" s="10"/>
      <c r="F12" s="10"/>
      <c r="G12" s="34"/>
      <c r="H12" s="17" t="e">
        <f t="shared" si="0"/>
        <v>#DIV/0!</v>
      </c>
      <c r="I12" s="18">
        <f t="shared" si="1"/>
        <v>6.2128260869565217</v>
      </c>
      <c r="J12" s="18">
        <f t="shared" si="2"/>
        <v>0</v>
      </c>
      <c r="K12" s="30">
        <f t="shared" si="3"/>
        <v>6.2128260869565217</v>
      </c>
      <c r="L12" s="19"/>
    </row>
    <row r="13" spans="1:12" x14ac:dyDescent="0.25">
      <c r="A13" s="10"/>
      <c r="B13" s="10"/>
      <c r="C13" s="11" t="s">
        <v>112</v>
      </c>
      <c r="D13" s="11"/>
      <c r="E13" s="10"/>
      <c r="F13" s="10"/>
      <c r="G13" s="34"/>
      <c r="H13" s="17" t="e">
        <f t="shared" si="0"/>
        <v>#DIV/0!</v>
      </c>
      <c r="I13" s="18">
        <f t="shared" si="1"/>
        <v>6.2128260869565217</v>
      </c>
      <c r="J13" s="18">
        <f t="shared" si="2"/>
        <v>0</v>
      </c>
      <c r="K13" s="30">
        <f t="shared" si="3"/>
        <v>6.2128260869565217</v>
      </c>
      <c r="L13" s="19"/>
    </row>
    <row r="14" spans="1:12" x14ac:dyDescent="0.25">
      <c r="A14" s="10"/>
      <c r="B14" s="10"/>
      <c r="C14" s="11" t="s">
        <v>112</v>
      </c>
      <c r="D14" s="11"/>
      <c r="E14" s="10"/>
      <c r="F14" s="10"/>
      <c r="G14" s="34"/>
      <c r="H14" s="17" t="e">
        <f t="shared" si="0"/>
        <v>#DIV/0!</v>
      </c>
      <c r="I14" s="18">
        <f t="shared" si="1"/>
        <v>6.2128260869565217</v>
      </c>
      <c r="J14" s="18">
        <f t="shared" si="2"/>
        <v>0</v>
      </c>
      <c r="K14" s="30">
        <f t="shared" si="3"/>
        <v>6.2128260869565217</v>
      </c>
      <c r="L14" s="19"/>
    </row>
    <row r="15" spans="1:12" x14ac:dyDescent="0.25">
      <c r="A15" s="10"/>
      <c r="B15" s="10"/>
      <c r="C15" s="11" t="s">
        <v>112</v>
      </c>
      <c r="D15" s="11"/>
      <c r="E15" s="10"/>
      <c r="F15" s="10"/>
      <c r="G15" s="34"/>
      <c r="H15" s="17" t="e">
        <f t="shared" si="0"/>
        <v>#DIV/0!</v>
      </c>
      <c r="I15" s="18">
        <f t="shared" si="1"/>
        <v>6.2128260869565217</v>
      </c>
      <c r="J15" s="18">
        <f t="shared" si="2"/>
        <v>0</v>
      </c>
      <c r="K15" s="30">
        <f t="shared" si="3"/>
        <v>6.2128260869565217</v>
      </c>
      <c r="L15" s="19"/>
    </row>
    <row r="16" spans="1:12" x14ac:dyDescent="0.25">
      <c r="A16" s="10"/>
      <c r="B16" s="10"/>
      <c r="C16" s="11" t="s">
        <v>112</v>
      </c>
      <c r="D16" s="11"/>
      <c r="E16" s="10"/>
      <c r="F16" s="10"/>
      <c r="G16" s="34"/>
      <c r="H16" s="17" t="e">
        <f t="shared" si="0"/>
        <v>#DIV/0!</v>
      </c>
      <c r="I16" s="18">
        <f t="shared" si="1"/>
        <v>6.2128260869565217</v>
      </c>
      <c r="J16" s="18">
        <f t="shared" si="2"/>
        <v>0</v>
      </c>
      <c r="K16" s="30">
        <f t="shared" si="3"/>
        <v>6.2128260869565217</v>
      </c>
      <c r="L16" s="19"/>
    </row>
    <row r="17" spans="1:12" x14ac:dyDescent="0.25">
      <c r="A17" s="10"/>
      <c r="B17" s="10"/>
      <c r="C17" s="11" t="s">
        <v>112</v>
      </c>
      <c r="D17" s="11"/>
      <c r="E17" s="10"/>
      <c r="F17" s="10"/>
      <c r="G17" s="34"/>
      <c r="H17" s="17" t="e">
        <f t="shared" si="0"/>
        <v>#DIV/0!</v>
      </c>
      <c r="I17" s="18">
        <f t="shared" si="1"/>
        <v>6.2128260869565217</v>
      </c>
      <c r="J17" s="18">
        <f t="shared" si="2"/>
        <v>0</v>
      </c>
      <c r="K17" s="30">
        <f t="shared" si="3"/>
        <v>6.2128260869565217</v>
      </c>
      <c r="L17" s="19"/>
    </row>
    <row r="18" spans="1:12" x14ac:dyDescent="0.25">
      <c r="A18" s="10"/>
      <c r="B18" s="10"/>
      <c r="C18" s="11" t="s">
        <v>112</v>
      </c>
      <c r="D18" s="11"/>
      <c r="E18" s="10"/>
      <c r="F18" s="10"/>
      <c r="G18" s="34"/>
      <c r="H18" s="17" t="e">
        <f t="shared" si="0"/>
        <v>#DIV/0!</v>
      </c>
      <c r="I18" s="18">
        <f t="shared" si="1"/>
        <v>6.2128260869565217</v>
      </c>
      <c r="J18" s="18">
        <f t="shared" si="2"/>
        <v>0</v>
      </c>
      <c r="K18" s="30">
        <f t="shared" si="3"/>
        <v>6.2128260869565217</v>
      </c>
      <c r="L18" s="19"/>
    </row>
    <row r="19" spans="1:12" x14ac:dyDescent="0.25">
      <c r="A19" s="10"/>
      <c r="B19" s="10"/>
      <c r="C19" s="11" t="s">
        <v>112</v>
      </c>
      <c r="D19" s="11"/>
      <c r="E19" s="10"/>
      <c r="F19" s="10"/>
      <c r="G19" s="34"/>
      <c r="H19" s="17" t="e">
        <f t="shared" si="0"/>
        <v>#DIV/0!</v>
      </c>
      <c r="I19" s="18">
        <f t="shared" si="1"/>
        <v>6.2128260869565217</v>
      </c>
      <c r="J19" s="18">
        <f t="shared" si="2"/>
        <v>0</v>
      </c>
      <c r="K19" s="30">
        <f t="shared" si="3"/>
        <v>6.2128260869565217</v>
      </c>
      <c r="L19" s="19"/>
    </row>
    <row r="20" spans="1:12" x14ac:dyDescent="0.25">
      <c r="A20" s="10"/>
      <c r="B20" s="10"/>
      <c r="C20" s="11" t="s">
        <v>112</v>
      </c>
      <c r="D20" s="11"/>
      <c r="E20" s="10"/>
      <c r="F20" s="10"/>
      <c r="G20" s="34"/>
      <c r="H20" s="17" t="e">
        <f t="shared" si="0"/>
        <v>#DIV/0!</v>
      </c>
      <c r="I20" s="18">
        <f t="shared" si="1"/>
        <v>6.2128260869565217</v>
      </c>
      <c r="J20" s="18">
        <f t="shared" si="2"/>
        <v>0</v>
      </c>
      <c r="K20" s="30">
        <f t="shared" si="3"/>
        <v>6.2128260869565217</v>
      </c>
      <c r="L20" s="19"/>
    </row>
    <row r="23" spans="1:12" x14ac:dyDescent="0.25">
      <c r="B23" t="s">
        <v>48</v>
      </c>
      <c r="G23" s="24"/>
    </row>
    <row r="24" spans="1:12" x14ac:dyDescent="0.25">
      <c r="B24" s="27" t="s">
        <v>19</v>
      </c>
      <c r="C24" s="39">
        <f>D24/46</f>
        <v>0.17282608695652174</v>
      </c>
      <c r="D24" s="44">
        <v>7.95</v>
      </c>
      <c r="E24" t="s">
        <v>23</v>
      </c>
    </row>
    <row r="25" spans="1:12" x14ac:dyDescent="0.25">
      <c r="B25" s="27" t="s">
        <v>120</v>
      </c>
      <c r="C25" s="39">
        <f>D25*12</f>
        <v>0.24</v>
      </c>
      <c r="D25" s="87">
        <v>0.02</v>
      </c>
      <c r="E25" t="s">
        <v>38</v>
      </c>
      <c r="F25" s="19"/>
      <c r="I25" s="26" t="s">
        <v>113</v>
      </c>
      <c r="J25" s="26">
        <v>2.4</v>
      </c>
    </row>
    <row r="26" spans="1:12" x14ac:dyDescent="0.25">
      <c r="B26" s="27" t="s">
        <v>121</v>
      </c>
      <c r="C26" s="39">
        <f>D26*12</f>
        <v>2.4000000000000004</v>
      </c>
      <c r="D26" s="87">
        <v>0.2</v>
      </c>
      <c r="E26" t="s">
        <v>40</v>
      </c>
      <c r="F26" s="19"/>
      <c r="I26" s="26" t="s">
        <v>114</v>
      </c>
      <c r="J26" s="26">
        <v>0.24</v>
      </c>
    </row>
    <row r="27" spans="1:12" x14ac:dyDescent="0.25">
      <c r="B27" s="27" t="s">
        <v>21</v>
      </c>
      <c r="C27" s="39">
        <v>0.56000000000000005</v>
      </c>
      <c r="D27" s="44"/>
      <c r="E27" t="s">
        <v>47</v>
      </c>
      <c r="I27" s="26" t="s">
        <v>115</v>
      </c>
      <c r="J27" s="26">
        <v>0.56000000000000005</v>
      </c>
    </row>
    <row r="28" spans="1:12" x14ac:dyDescent="0.25">
      <c r="B28" s="27" t="s">
        <v>13</v>
      </c>
      <c r="C28" s="39">
        <v>0.4</v>
      </c>
      <c r="D28" s="44"/>
      <c r="E28" t="s">
        <v>41</v>
      </c>
      <c r="I28" s="26" t="s">
        <v>116</v>
      </c>
      <c r="J28" s="26">
        <v>0.4</v>
      </c>
    </row>
    <row r="29" spans="1:12" x14ac:dyDescent="0.25">
      <c r="B29" s="27" t="s">
        <v>14</v>
      </c>
      <c r="C29" s="39">
        <v>1</v>
      </c>
      <c r="D29" s="44">
        <v>60</v>
      </c>
      <c r="E29" t="s">
        <v>23</v>
      </c>
      <c r="I29" s="26" t="s">
        <v>117</v>
      </c>
      <c r="J29" s="26">
        <v>0.16666666699999999</v>
      </c>
    </row>
    <row r="30" spans="1:12" x14ac:dyDescent="0.25">
      <c r="B30" s="27" t="s">
        <v>64</v>
      </c>
      <c r="C30" s="39">
        <f>D30*12</f>
        <v>1.44</v>
      </c>
      <c r="D30" s="44">
        <v>0.12</v>
      </c>
      <c r="I30" s="26" t="s">
        <v>118</v>
      </c>
      <c r="J30" s="26">
        <v>1</v>
      </c>
    </row>
    <row r="31" spans="1:12" x14ac:dyDescent="0.25">
      <c r="B31" s="43" t="s">
        <v>65</v>
      </c>
      <c r="C31" s="39"/>
      <c r="D31" s="44"/>
      <c r="J31" s="26">
        <v>4.766666667</v>
      </c>
    </row>
    <row r="32" spans="1:12" x14ac:dyDescent="0.25">
      <c r="C32" s="39"/>
      <c r="D32" s="44"/>
    </row>
    <row r="33" spans="3:4" x14ac:dyDescent="0.25">
      <c r="C33" s="39"/>
      <c r="D33" s="44"/>
    </row>
    <row r="34" spans="3:4" x14ac:dyDescent="0.25">
      <c r="C34" s="38">
        <f>SUM(C24:C33)</f>
        <v>6.2128260869565217</v>
      </c>
      <c r="D34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B4:B9"/>
  <sheetViews>
    <sheetView workbookViewId="0">
      <selection activeCell="B9" sqref="B9"/>
    </sheetView>
  </sheetViews>
  <sheetFormatPr defaultRowHeight="15" x14ac:dyDescent="0.25"/>
  <cols>
    <col min="2" max="2" width="105.140625" customWidth="1"/>
  </cols>
  <sheetData>
    <row r="4" spans="2:2" x14ac:dyDescent="0.25">
      <c r="B4" t="s">
        <v>52</v>
      </c>
    </row>
    <row r="5" spans="2:2" x14ac:dyDescent="0.25">
      <c r="B5" t="s">
        <v>53</v>
      </c>
    </row>
    <row r="6" spans="2:2" x14ac:dyDescent="0.25">
      <c r="B6" t="s">
        <v>54</v>
      </c>
    </row>
    <row r="7" spans="2:2" x14ac:dyDescent="0.25">
      <c r="B7" t="s">
        <v>55</v>
      </c>
    </row>
    <row r="8" spans="2:2" x14ac:dyDescent="0.25">
      <c r="B8" t="s">
        <v>56</v>
      </c>
    </row>
    <row r="9" spans="2:2" x14ac:dyDescent="0.25">
      <c r="B9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668D599928EA45BC7EAD89F0E49610" ma:contentTypeVersion="11" ma:contentTypeDescription="Create a new document." ma:contentTypeScope="" ma:versionID="8c1d4d14945757469a71fe90fdbda113">
  <xsd:schema xmlns:xsd="http://www.w3.org/2001/XMLSchema" xmlns:xs="http://www.w3.org/2001/XMLSchema" xmlns:p="http://schemas.microsoft.com/office/2006/metadata/properties" xmlns:ns2="df0b1391-bda8-4fd5-af1c-ec5d42468335" xmlns:ns3="210540c6-fc81-4a2b-be07-f266e35d5389" targetNamespace="http://schemas.microsoft.com/office/2006/metadata/properties" ma:root="true" ma:fieldsID="430c586128d7b2eabf95fcd04eee4c35" ns2:_="" ns3:_="">
    <xsd:import namespace="df0b1391-bda8-4fd5-af1c-ec5d42468335"/>
    <xsd:import namespace="210540c6-fc81-4a2b-be07-f266e35d53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0b1391-bda8-4fd5-af1c-ec5d424683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3410a3-4a86-4c11-85a2-de5e7de099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0540c6-fc81-4a2b-be07-f266e35d538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3db5c81-056a-48c1-8a4e-6089b42e70dc}" ma:internalName="TaxCatchAll" ma:showField="CatchAllData" ma:web="210540c6-fc81-4a2b-be07-f266e35d5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0b1391-bda8-4fd5-af1c-ec5d42468335">
      <Terms xmlns="http://schemas.microsoft.com/office/infopath/2007/PartnerControls"/>
    </lcf76f155ced4ddcb4097134ff3c332f>
    <TaxCatchAll xmlns="210540c6-fc81-4a2b-be07-f266e35d5389" xsi:nil="true"/>
    <SharedWithUsers xmlns="210540c6-fc81-4a2b-be07-f266e35d5389">
      <UserInfo>
        <DisplayName>Kyra Simpson | Simpsons Beverages</DisplayName>
        <AccountId>20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E69776A-DF67-4D11-B2E8-F5DA0BA9AE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59C4BF-E0D5-42B5-953A-0424597FE2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0b1391-bda8-4fd5-af1c-ec5d42468335"/>
    <ds:schemaRef ds:uri="210540c6-fc81-4a2b-be07-f266e35d5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8F7464-C2E2-4A13-8DC1-A059E9535133}">
  <ds:schemaRefs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210540c6-fc81-4a2b-be07-f266e35d5389"/>
    <ds:schemaRef ds:uri="df0b1391-bda8-4fd5-af1c-ec5d424683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TOSCA</vt:lpstr>
      <vt:lpstr>IBC</vt:lpstr>
      <vt:lpstr>220L DRUM</vt:lpstr>
      <vt:lpstr>25L</vt:lpstr>
      <vt:lpstr>2X5L</vt:lpstr>
      <vt:lpstr>4X5L</vt:lpstr>
      <vt:lpstr>10L</vt:lpstr>
      <vt:lpstr>6X1L</vt:lpstr>
      <vt:lpstr>6X2L</vt:lpstr>
      <vt:lpstr>770ML POUCH</vt:lpstr>
      <vt:lpstr>2X2.25L POUCH</vt:lpstr>
      <vt:lpstr>2X600ML POUCH</vt:lpstr>
      <vt:lpstr>12X750ML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Todd Simpson | Simpsons Beverages</dc:creator>
  <cp:keywords/>
  <dc:description/>
  <cp:lastModifiedBy>Todd Simpson | Simpsons Beverages</cp:lastModifiedBy>
  <cp:revision/>
  <dcterms:created xsi:type="dcterms:W3CDTF">2021-09-06T09:18:12Z</dcterms:created>
  <dcterms:modified xsi:type="dcterms:W3CDTF">2026-06-03T19:28:37Z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0x01010098668D599928EA45BC7EAD89F0E49610</vt:lpwstr>
  </property>
  <property fmtid="{D5CDD505-2E9C-101B-9397-08002B2CF9AE}" pid="3" name="MediaServiceImageTags">
    <vt:lpwstr/>
  </property>
</Properties>
</file>